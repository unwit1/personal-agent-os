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ddaea13cbaf4480" /></Relationships>
</file>

<file path=xl/workbook.xml><?xml version="1.0" encoding="utf-8"?>
<x:workbook xmlns:x="http://schemas.openxmlformats.org/spreadsheetml/2006/main">
  <x:sheets>
    <x:sheet xmlns:r="http://schemas.openxmlformats.org/officeDocument/2006/relationships" name="Overview" sheetId="1" r:id="Re8d4aff0918a42db"/>
    <x:sheet xmlns:r="http://schemas.openxmlformats.org/officeDocument/2006/relationships" name="Source Coverage" sheetId="2" r:id="Rfa2e6cb6cb524e92"/>
    <x:sheet xmlns:r="http://schemas.openxmlformats.org/officeDocument/2006/relationships" name="Candidate Review" sheetId="3" r:id="R7f8f2f74a6ef45b3"/>
    <x:sheet xmlns:r="http://schemas.openxmlformats.org/officeDocument/2006/relationships" name="Corroboration" sheetId="4" r:id="R5db898e187fe429d"/>
    <x:sheet xmlns:r="http://schemas.openxmlformats.org/officeDocument/2006/relationships" name="Observed Patterns" sheetId="5" r:id="Rcf94985d478442c2"/>
    <x:sheet xmlns:r="http://schemas.openxmlformats.org/officeDocument/2006/relationships" name="Explicit Evidence" sheetId="6" r:id="R32dbf1dd81d84a2d"/>
    <x:sheet xmlns:r="http://schemas.openxmlformats.org/officeDocument/2006/relationships" name="Module Semantics" sheetId="7" r:id="R9f4a6a77fc3340ce"/>
    <x:sheet xmlns:r="http://schemas.openxmlformats.org/officeDocument/2006/relationships" name="Source Artifacts" sheetId="8" r:id="Raeab9f6a12f94892"/>
    <x:sheet xmlns:r="http://schemas.openxmlformats.org/officeDocument/2006/relationships" name="Evidence Limits" sheetId="9" r:id="Re699b496ee3d4493"/>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FFFFFF"/>
      <x:name val="Carlito"/>
    </x:font>
    <x:font>
      <x:sz val="11"/>
      <x:color rgb="FF404040"/>
      <x:name val="Carlito"/>
    </x:font>
    <x:font>
      <x:b/>
      <x:sz val="11"/>
      <x:color rgb="FFFFFFFF"/>
      <x:name val="Carlito"/>
    </x:font>
    <x:font>
      <x:b/>
      <x:sz val="11"/>
      <x:name val="Carlito"/>
    </x:font>
  </x:fonts>
  <x:fills count="6">
    <x:fill>
      <x:patternFill patternType="none"/>
    </x:fill>
    <x:fill>
      <x:patternFill patternType="gray125"/>
    </x:fill>
    <x:fill>
      <x:patternFill patternType="solid">
        <x:fgColor rgb="FF17365D"/>
      </x:patternFill>
    </x:fill>
    <x:fill>
      <x:patternFill patternType="solid">
        <x:fgColor rgb="FFF2F2F2"/>
      </x:patternFill>
    </x:fill>
    <x:fill>
      <x:patternFill patternType="solid">
        <x:fgColor rgb="FF1F4E78"/>
      </x:patternFill>
    </x:fill>
    <x:fill>
      <x:patternFill patternType="solid">
        <x:fgColor rgb="FFD9EAF7"/>
      </x:patternFill>
    </x:fill>
  </x:fills>
  <x:borders count="2">
    <x:border/>
    <x:border/>
  </x:borders>
  <x:cellStyleXfs count="1">
    <x:xf numFmtId="0" fontId="0" fillId="0" borderId="0"/>
  </x:cellStyleXfs>
  <x:cellXfs count="4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top"/>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vertical="top"/>
    </x:xf>
    <x:xf numFmtId="0" fontId="4" fillId="5" borderId="0" xfId="0" applyNumberFormat="1" applyFont="1" applyFill="1" applyBorder="1" applyAlignment="1">
      <x:alignment vertical="top" wrapText="1"/>
    </x:xf>
    <x:xf numFmtId="0" fontId="0" fillId="0" borderId="0" xfId="0" applyNumberFormat="1" applyFont="1" applyFill="1" applyBorder="1" applyAlignment="1">
      <x:alignment wrapText="1"/>
    </x:xf>
    <x:xf numFmtId="0" fontId="4" fillId="5" borderId="1" xfId="0" applyNumberFormat="1" applyFont="1" applyFill="1" applyBorder="1" applyAlignment="1">
      <x:alignment vertical="top" wrapText="1"/>
    </x:xf>
    <x:xf numFmtId="0" fontId="0" fillId="0" borderId="1" xfId="0" applyNumberFormat="1" applyFont="1" applyFill="1" applyBorder="1" applyAlignment="1">
      <x:alignment wrapText="1"/>
    </x:xf>
    <x:xf numFmtId="0" fontId="3" fillId="4"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3" fillId="4"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x:xf>
    <x:xf numFmtId="0" fontId="0"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9ee2d05465e47a1" /><Relationship Type="http://schemas.openxmlformats.org/officeDocument/2006/relationships/theme" Target="/xl/theme/theme1.xml" Id="R18f08455fb76430d" /><Relationship Type="http://schemas.openxmlformats.org/officeDocument/2006/relationships/sharedStrings" Target="/xl/sharedStrings.xml" Id="R2ceb442d73294daa" /><Relationship Type="http://schemas.openxmlformats.org/officeDocument/2006/relationships/worksheet" Target="/xl/worksheets/sheet1.xml" Id="Re8d4aff0918a42db" /><Relationship Type="http://schemas.openxmlformats.org/officeDocument/2006/relationships/worksheet" Target="/xl/worksheets/sheet2.xml" Id="Rfa2e6cb6cb524e92" /><Relationship Type="http://schemas.openxmlformats.org/officeDocument/2006/relationships/worksheet" Target="/xl/worksheets/sheet3.xml" Id="R7f8f2f74a6ef45b3" /><Relationship Type="http://schemas.openxmlformats.org/officeDocument/2006/relationships/worksheet" Target="/xl/worksheets/sheet4.xml" Id="R5db898e187fe429d" /><Relationship Type="http://schemas.openxmlformats.org/officeDocument/2006/relationships/worksheet" Target="/xl/worksheets/sheet5.xml" Id="Rcf94985d478442c2" /><Relationship Type="http://schemas.openxmlformats.org/officeDocument/2006/relationships/worksheet" Target="/xl/worksheets/sheet6.xml" Id="R32dbf1dd81d84a2d" /><Relationship Type="http://schemas.openxmlformats.org/officeDocument/2006/relationships/worksheet" Target="/xl/worksheets/sheet7.xml" Id="R9f4a6a77fc3340ce" /><Relationship Type="http://schemas.openxmlformats.org/officeDocument/2006/relationships/worksheet" Target="/xl/worksheets/sheet8.xml" Id="Raeab9f6a12f94892" /><Relationship Type="http://schemas.openxmlformats.org/officeDocument/2006/relationships/worksheet" Target="/xl/worksheets/sheet9.xml" Id="Re699b496ee3d4493" /></Relationships>
</file>

<file path=xl/drawings/_rels/drawing1.xml.rels>&#65279;<?xml version="1.0" encoding="utf-8"?><Relationships xmlns="http://schemas.openxmlformats.org/package/2006/relationships"><Relationship Type="http://schemas.openxmlformats.org/officeDocument/2006/relationships/chart" Target="/xl/drawings/charts/chart1.xml" Id="Re5a6855ae34249fb"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Candidate evidence strength</a:t>
            </a:r>
          </a:p>
        </c:rich>
      </c:tx>
    </c:title>
    <c:plotArea>
      <c:barChart>
        <c:barDir val="col"/>
        <c:varyColors val="0"/>
        <c:ser>
          <c:idx val="0"/>
          <c:order val="0"/>
          <c:tx>
            <c:v>Candidates</c:v>
          </c:tx>
          <c:cat>
            <c:strRef>
              <c:f>'Overview'!$J$5:$J$7</c:f>
              <c:strCache>
                <c:ptCount val="0"/>
              </c:strCache>
            </c:strRef>
          </c:cat>
          <c:val>
            <c:numRef>
              <c:f>'Overview'!$K$5:$K$7</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14</xdr:row>
      <xdr:rowOff>0</xdr:rowOff>
    </xdr:from>
    <xdr:to>
      <xdr:col>8</xdr:col>
      <xdr:colOff>0</xdr:colOff>
      <xdr:row>26</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5a6855ae34249fb"/>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f16bf3b142384f22" /></Relationships>
</file>

<file path=xl/worksheets/sheet1.xml><?xml version="1.0" encoding="utf-8"?>
<x:worksheet xmlns:x="http://schemas.openxmlformats.org/spreadsheetml/2006/main">
  <x:sheetFormatPr defaultRowHeight="15"/>
  <x:cols>
    <x:col min="1" max="1" width="30" hidden="0" customWidth="1"/>
    <x:col min="2" max="2" width="78" hidden="0" customWidth="1"/>
    <x:col min="4" max="4" width="34" hidden="0" customWidth="1"/>
    <x:col min="5" max="5" width="16" hidden="0" customWidth="1"/>
  </x:cols>
  <x:sheetData>
    <x:row r="1">
      <x:c r="A1" s="4" t="str">
        <x:v>Simonrim Balancer — Source Exhaustion + Candidate Review</x:v>
      </x:c>
      <x:c r="B1" s="4"/>
      <x:c r="C1" s="4"/>
      <x:c r="D1" s="4"/>
      <x:c r="E1" s="4"/>
      <x:c r="F1" s="4"/>
      <x:c r="G1" s="4"/>
      <x:c r="H1" s="4"/>
    </x:row>
    <x:row r="2">
      <x:c r="A2" s="11" t="str">
        <x:v>Adamant 6.0.4 • Hand to Hand 2.0.2 • Blade and Blunt 4.0.3 • Mysticism 2.5.0 • Snapshot 2026-09-23</x:v>
      </x:c>
      <x:c r="B2" s="11"/>
      <x:c r="C2" s="11"/>
      <x:c r="D2" s="11"/>
      <x:c r="E2" s="11"/>
      <x:c r="F2" s="11"/>
      <x:c r="G2" s="11"/>
      <x:c r="H2" s="11"/>
    </x:row>
    <x:row r="4">
      <x:c r="A4" s="20" t="str">
        <x:v>Source Coverage</x:v>
      </x:c>
      <x:c r="B4" s="20" t="str">
        <x:v>Count</x:v>
      </x:c>
      <x:c r="D4" s="20" t="str">
        <x:v>Candidate Review</x:v>
      </x:c>
      <x:c r="E4" s="20" t="str">
        <x:v>Count</x:v>
      </x:c>
      <x:c r="J4" s="20" t="str">
        <x:v>Evidence strength</x:v>
      </x:c>
      <x:c r="K4" s="20" t="str">
        <x:v>Candidates</x:v>
      </x:c>
    </x:row>
    <x:row r="5">
      <x:c r="A5" s="28" t="str">
        <x:v>Plugin records</x:v>
      </x:c>
      <x:c r="B5" t="n">
        <x:v>6009</x:v>
      </x:c>
      <x:c r="D5" s="28" t="str">
        <x:v>Candidates</x:v>
      </x:c>
      <x:c r="E5" t="n">
        <x:f>COUNTA('Candidate Review'!A2:A274)</x:f>
        <x:v>273</x:v>
      </x:c>
      <x:c r="J5" t="str">
        <x:v>High</x:v>
      </x:c>
      <x:c r="K5" t="n">
        <x:v>38</x:v>
      </x:c>
    </x:row>
    <x:row r="6">
      <x:c r="A6" s="28" t="str">
        <x:v>Record types</x:v>
      </x:c>
      <x:c r="B6" t="n">
        <x:v>53</x:v>
      </x:c>
      <x:c r="D6" s="28" t="str">
        <x:v>High evidence strength</x:v>
      </x:c>
      <x:c r="E6" t="n">
        <x:f>COUNTIF('Candidate Review'!V2:V274,"high")</x:f>
        <x:v>38</x:v>
      </x:c>
      <x:c r="J6" t="str">
        <x:v>Medium</x:v>
      </x:c>
      <x:c r="K6" t="n">
        <x:v>235</x:v>
      </x:c>
    </x:row>
    <x:row r="7">
      <x:c r="A7" s="28" t="str">
        <x:v>Unmapped record types</x:v>
      </x:c>
      <x:c r="B7" t="n">
        <x:v>0</x:v>
      </x:c>
      <x:c r="D7" s="28" t="str">
        <x:v>Medium evidence strength</x:v>
      </x:c>
      <x:c r="E7" t="n">
        <x:f>COUNTIF('Candidate Review'!V2:V274,"medium")</x:f>
        <x:v>235</x:v>
      </x:c>
      <x:c r="J7" t="str">
        <x:v>Low</x:v>
      </x:c>
      <x:c r="K7" t="n">
        <x:v>0</x:v>
      </x:c>
    </x:row>
    <x:row r="8">
      <x:c r="A8" s="28" t="str">
        <x:v>Gameplay/behavior/typed support records</x:v>
      </x:c>
      <x:c r="B8" t="n">
        <x:v>5556</x:v>
      </x:c>
      <x:c r="D8" s="28" t="str">
        <x:v>Low evidence strength</x:v>
      </x:c>
      <x:c r="E8" t="n">
        <x:f>COUNTIF('Candidate Review'!V2:V274,"low")</x:f>
        <x:v>0</x:v>
      </x:c>
    </x:row>
    <x:row r="9">
      <x:c r="A9" s="28" t="str">
        <x:v>Keyword identity records</x:v>
      </x:c>
      <x:c r="B9" t="n">
        <x:v>208</x:v>
      </x:c>
      <x:c r="D9" s="28" t="str">
        <x:v>Medium generalizability</x:v>
      </x:c>
      <x:c r="E9" t="n">
        <x:f>COUNTIF('Candidate Review'!X2:X274,"medium")</x:f>
        <x:v>9</x:v>
      </x:c>
    </x:row>
    <x:row r="10">
      <x:c r="A10" s="28" t="str">
        <x:v>Presentation-support records</x:v>
      </x:c>
      <x:c r="B10" t="n">
        <x:v>224</x:v>
      </x:c>
      <x:c r="D10" s="28" t="str">
        <x:v>Low generalizability</x:v>
      </x:c>
      <x:c r="E10" t="n">
        <x:f>COUNTIF('Candidate Review'!X2:X274,"low")</x:f>
        <x:v>264</x:v>
      </x:c>
    </x:row>
    <x:row r="11">
      <x:c r="A11" s="28" t="str">
        <x:v>Plugin headers</x:v>
      </x:c>
      <x:c r="B11" t="n">
        <x:v>21</x:v>
      </x:c>
      <x:c r="D11" s="28" t="str">
        <x:v>Medium promotion readiness</x:v>
      </x:c>
      <x:c r="E11" t="n">
        <x:f>COUNTIF('Candidate Review'!Z2:Z274,"medium")</x:f>
        <x:v>50</x:v>
      </x:c>
    </x:row>
    <x:row r="12">
      <x:c r="A12" s="28" t="str">
        <x:v>Top-level source files</x:v>
      </x:c>
      <x:c r="B12" t="n">
        <x:v>73</x:v>
      </x:c>
      <x:c r="D12" s="28" t="str">
        <x:v>Low promotion readiness</x:v>
      </x:c>
      <x:c r="E12" t="n">
        <x:f>COUNTIF('Candidate Review'!Z2:Z274,"low")</x:f>
        <x:v>223</x:v>
      </x:c>
    </x:row>
    <x:row r="13">
      <x:c r="A13" s="28" t="str">
        <x:v>BSA members</x:v>
      </x:c>
      <x:c r="B13" t="n">
        <x:v>476</x:v>
      </x:c>
      <x:c r="D13" s="28" t="str">
        <x:v>Approved rules</x:v>
      </x:c>
      <x:c r="E13" t="n">
        <x:f>COUNTIF('Candidate Review'!AC2:AC274,"True")</x:f>
        <x:v>0</x:v>
      </x:c>
    </x:row>
    <x:row r="14">
      <x:c r="A14" s="28" t="str">
        <x:v>Papyrus source files parsed</x:v>
      </x:c>
      <x:c r="B14" t="n">
        <x:v>115</x:v>
      </x:c>
    </x:row>
    <x:row r="15">
      <x:c r="A15" s="28" t="str">
        <x:v>Behavior config entries</x:v>
      </x:c>
      <x:c r="B15" t="n">
        <x:v>169</x:v>
      </x:c>
    </x:row>
    <x:row r="18">
      <x:c r="A18" s="20" t="str">
        <x:v>Architecture Guardrail</x:v>
      </x:c>
      <x:c r="B18" s="20" t="str">
        <x:v>Meaning</x:v>
      </x:c>
      <x:c r="C18" s="20"/>
      <x:c r="D18" s="20"/>
      <x:c r="E18" s="20"/>
      <x:c r="F18" s="20"/>
    </x:row>
    <x:row r="19">
      <x:c r="A19" s="32" t="str">
        <x:v>Source exhaustion</x:v>
      </x:c>
      <x:c r="B19" s="33" t="str">
        <x:v>All 6,009 plugin records across all 53 record types are accounted for; remaining limits are external evidence boundaries rather than unparsed source.</x:v>
      </x:c>
    </x:row>
    <x:row r="20">
      <x:c r="A20" s="32" t="str">
        <x:v>Evidence strength ≠ generalizability</x:v>
      </x:c>
      <x:c r="B20" s="33" t="str">
        <x:v>A behavior can be strongly proven in its scope while still being unsafe to generalize into a suite-wide rule.</x:v>
      </x:c>
    </x:row>
    <x:row r="21">
      <x:c r="A21" s="32" t="str">
        <x:v>Candidate ≠ rule</x:v>
      </x:c>
      <x:c r="B21" s="33" t="str">
        <x:v>All 273 candidates remain review-required. No automatic promotion occurs.</x:v>
      </x:c>
    </x:row>
    <x:row r="22">
      <x:c r="A22" s="32" t="str">
        <x:v>Optional-module contamination</x:v>
      </x:c>
      <x:c r="B22" s="33" t="str">
        <x:v>Feature add-ons, compatibility patches, and reversion modules are explicitly flagged in the candidate model.</x:v>
      </x:c>
    </x:row>
    <x:row r="23">
      <x:c r="A23" s="32" t="str">
        <x:v>Missing baselines</x:v>
      </x:c>
      <x:c r="B23" s="33" t="str">
        <x:v>1,619 external Skyrim/DLC baseline overrides cannot be compared exactly until those master record bodies are imported.</x:v>
      </x:c>
    </x:row>
    <x:row r="24">
      <x:c r="A24" s="32" t="str">
        <x:v>Binary boundary</x:v>
      </x:c>
      <x:c r="B24" s="33" t="str">
        <x:v>Native DLL/PDB source-level behavior is not inferred from binaries; compiled/presentation assets remain inventories unless source is available.</x:v>
      </x:c>
    </x:row>
  </x:sheetData>
  <x:mergeCells>
    <x:mergeCell ref="A1:H1"/>
    <x:mergeCell ref="A2:H2"/>
  </x:mergeCells>
  <x:pageMargins left="0.7" right="0.7" top="0.75" bottom="0.75" header="0.3" footer="0.3"/>
  <x:drawing xmlns:r="http://schemas.openxmlformats.org/officeDocument/2006/relationships" r:id="Rf16bf3b142384f22"/>
</x:worksheet>
</file>

<file path=xl/worksheets/sheet2.xml><?xml version="1.0" encoding="utf-8"?>
<x:worksheet xmlns:x="http://schemas.openxmlformats.org/spreadsheetml/2006/main">
  <x:sheetFormatPr defaultRowHeight="15"/>
  <x:cols>
    <x:col min="1" max="1" width="20" hidden="0" customWidth="1"/>
    <x:col min="2" max="2" width="14" hidden="0" customWidth="1"/>
    <x:col min="3" max="3" width="14" hidden="0" customWidth="1"/>
    <x:col min="4" max="4" width="38" hidden="0" customWidth="1"/>
    <x:col min="5" max="5" width="38" hidden="0" customWidth="1"/>
    <x:col min="6" max="6" width="38" hidden="0" customWidth="1"/>
    <x:col min="7" max="7" width="14" hidden="0" customWidth="1"/>
  </x:cols>
  <x:sheetData>
    <x:row r="1">
      <x:c r="A1" s="36" t="str">
        <x:v>record_type</x:v>
      </x:c>
      <x:c r="B1" s="36" t="str">
        <x:v>record_count</x:v>
      </x:c>
      <x:c r="C1" s="36" t="str">
        <x:v>coverage_status</x:v>
      </x:c>
      <x:c r="D1" s="36" t="str">
        <x:v>semantic_scope</x:v>
      </x:c>
      <x:c r="E1" s="36" t="str">
        <x:v>primary_outputs</x:v>
      </x:c>
      <x:c r="F1" s="36" t="str">
        <x:v>remaining_limitation</x:v>
      </x:c>
      <x:c r="G1" s="36" t="str">
        <x:v>coverage_complete</x:v>
      </x:c>
    </x:row>
    <x:row r="2">
      <x:c r="A2" s="37" t="str">
        <x:v>MGEF</x:v>
      </x:c>
      <x:c r="B2" s="37" t="str">
        <x:v>1648</x:v>
      </x:c>
      <x:c r="C2" s="37" t="str">
        <x:v>fully_semantic_gameplay</x:v>
      </x:c>
      <x:c r="D2" s="38" t="str">
        <x:v>magic effect data, conditions, runtime attachments</x:v>
      </x:c>
      <x:c r="E2" s="38" t="str">
        <x:v>magic_effects_full.csv;conditions.csv;mgef_vmad_*</x:v>
      </x:c>
      <x:c r="F2" s="38" t="str">
        <x:v>external master baselines remain unavailable where not supplied</x:v>
      </x:c>
      <x:c r="G2" s="37" t="str">
        <x:v>True</x:v>
      </x:c>
    </x:row>
    <x:row r="3">
      <x:c r="A3" s="37" t="str">
        <x:v>SPEL</x:v>
      </x:c>
      <x:c r="B3" s="37" t="str">
        <x:v>953</x:v>
      </x:c>
      <x:c r="C3" s="37" t="str">
        <x:v>fully_semantic_gameplay</x:v>
      </x:c>
      <x:c r="D3" s="38" t="str">
        <x:v>spell header, effects, costs, conditions, design profiles</x:v>
      </x:c>
      <x:c r="E3" s="38" t="str">
        <x:v>spells.csv;spell_design_profiles.csv;effects.csv</x:v>
      </x:c>
      <x:c r="F3" s="38" t="str">
        <x:v>external Skyrim/DLC baselines remain unavailable where not supplied</x:v>
      </x:c>
      <x:c r="G3" s="37" t="str">
        <x:v>True</x:v>
      </x:c>
    </x:row>
    <x:row r="4">
      <x:c r="A4" s="37" t="str">
        <x:v>PERK</x:v>
      </x:c>
      <x:c r="B4" s="37" t="str">
        <x:v>625</x:v>
      </x:c>
      <x:c r="C4" s="37" t="str">
        <x:v>fully_semantic_gameplay</x:v>
      </x:c>
      <x:c r="D4" s="38" t="str">
        <x:v>perk header/effects/conditions plus fragmented VMAD</x:v>
      </x:c>
      <x:c r="E4" s="38" t="str">
        <x:v>perks_full.csv;perk_effects.csv;perk_conditions.csv;perk_vmad_*</x:v>
      </x:c>
      <x:c r="F4" s="38" t="str">
        <x:v>approved design rules remain review-gated</x:v>
      </x:c>
      <x:c r="G4" s="37" t="str">
        <x:v>True</x:v>
      </x:c>
    </x:row>
    <x:row r="5">
      <x:c r="A5" s="37" t="str">
        <x:v>LVLI</x:v>
      </x:c>
      <x:c r="B5" s="37" t="str">
        <x:v>389</x:v>
      </x:c>
      <x:c r="C5" s="37" t="str">
        <x:v>fully_semantic_gameplay</x:v>
      </x:c>
      <x:c r="D5" s="38" t="str">
        <x:v>leveled distribution, chance none/global, entries</x:v>
      </x:c>
      <x:c r="E5" s="38" t="str">
        <x:v>leveled_lists.csv;leveled_list_entries.csv;distribution_item_semantic_deltas.csv</x:v>
      </x:c>
      <x:c r="F5" s="38" t="str">
        <x:v>external master baselines remain unavailable where not supplied</x:v>
      </x:c>
      <x:c r="G5" s="37" t="str">
        <x:v>True</x:v>
      </x:c>
    </x:row>
    <x:row r="6">
      <x:c r="A6" s="37" t="str">
        <x:v>SCRL</x:v>
      </x:c>
      <x:c r="B6" s="37" t="str">
        <x:v>305</x:v>
      </x:c>
      <x:c r="C6" s="37" t="str">
        <x:v>fully_semantic_gameplay</x:v>
      </x:c>
      <x:c r="D6" s="38" t="str">
        <x:v>scroll headers, effects and effect conditions</x:v>
      </x:c>
      <x:c r="E6" s="38" t="str">
        <x:v>scrolls_full.csv;distribution_item_semantic_deltas.csv</x:v>
      </x:c>
      <x:c r="F6" s="38" t="str">
        <x:v>external master baselines remain unavailable where not supplied</x:v>
      </x:c>
      <x:c r="G6" s="37" t="str">
        <x:v>True</x:v>
      </x:c>
    </x:row>
    <x:row r="7">
      <x:c r="A7" s="37" t="str">
        <x:v>BOOK</x:v>
      </x:c>
      <x:c r="B7" s="37" t="str">
        <x:v>303</x:v>
      </x:c>
      <x:c r="C7" s="37" t="str">
        <x:v>fully_semantic_gameplay</x:v>
      </x:c>
      <x:c r="D7" s="38" t="str">
        <x:v>spell-tome/skill-book flags and taught Forms</x:v>
      </x:c>
      <x:c r="E7" s="38" t="str">
        <x:v>books_full.csv</x:v>
      </x:c>
      <x:c r="F7" s="38" t="str">
        <x:v>all supplied books are spell tomes</x:v>
      </x:c>
      <x:c r="G7" s="37" t="str">
        <x:v>True</x:v>
      </x:c>
    </x:row>
    <x:row r="8">
      <x:c r="A8" s="37" t="str">
        <x:v>ENCH</x:v>
      </x:c>
      <x:c r="B8" s="37" t="str">
        <x:v>269</x:v>
      </x:c>
      <x:c r="C8" s="37" t="str">
        <x:v>fully_semantic_gameplay</x:v>
      </x:c>
      <x:c r="D8" s="38" t="str">
        <x:v>enchantment header, effects, conditions, typed deltas</x:v>
      </x:c>
      <x:c r="E8" s="38" t="str">
        <x:v>enchantments_full.csv;enchantment_effects.csv;enchantment_field_deltas.csv</x:v>
      </x:c>
      <x:c r="F8" s="38" t="str">
        <x:v>none beyond external baselines</x:v>
      </x:c>
      <x:c r="G8" s="37" t="str">
        <x:v>True</x:v>
      </x:c>
    </x:row>
    <x:row r="9">
      <x:c r="A9" s="37" t="str">
        <x:v>WEAP</x:v>
      </x:c>
      <x:c r="B9" s="37" t="str">
        <x:v>216</x:v>
      </x:c>
      <x:c r="C9" s="37" t="str">
        <x:v>fully_semantic_gameplay</x:v>
      </x:c>
      <x:c r="D9" s="38" t="str">
        <x:v>weapon damage/value/weight, DNAM mechanics, refs/keywords</x:v>
      </x:c>
      <x:c r="E9" s="38" t="str">
        <x:v>weapons_full.csv;weapon_numeric_baselines.csv;weapon_field_deltas.csv</x:v>
      </x:c>
      <x:c r="F9" s="38" t="str">
        <x:v>external master baselines remain unavailable where not supplied</x:v>
      </x:c>
      <x:c r="G9" s="37" t="str">
        <x:v>True</x:v>
      </x:c>
    </x:row>
    <x:row r="10">
      <x:c r="A10" s="37" t="str">
        <x:v>KYWD</x:v>
      </x:c>
      <x:c r="B10" s="37" t="str">
        <x:v>208</x:v>
      </x:c>
      <x:c r="C10" s="37" t="str">
        <x:v>identifier_relationship_semantics</x:v>
      </x:c>
      <x:c r="D10" s="38" t="str">
        <x:v>keyword identifiers used by typed record relations</x:v>
      </x:c>
      <x:c r="E10" s="38" t="str">
        <x:v>records.csv;relations.csv</x:v>
      </x:c>
      <x:c r="F10" s="38" t="str">
        <x:v>no intrinsic balance payload beyond identity/description</x:v>
      </x:c>
      <x:c r="G10" s="37" t="str">
        <x:v>True</x:v>
      </x:c>
    </x:row>
    <x:row r="11">
      <x:c r="A11" s="37" t="str">
        <x:v>COBJ</x:v>
      </x:c>
      <x:c r="B11" s="37" t="str">
        <x:v>181</x:v>
      </x:c>
      <x:c r="C11" s="37" t="str">
        <x:v>fully_semantic_gameplay</x:v>
      </x:c>
      <x:c r="D11" s="38" t="str">
        <x:v>crafting outputs, quantities, workstation, inputs and CTDA</x:v>
      </x:c>
      <x:c r="E11" s="38" t="str">
        <x:v>crafting_recipes.csv;crafting_inputs.csv</x:v>
      </x:c>
      <x:c r="F11" s="38" t="str">
        <x:v>external master baselines remain unavailable where not supplied</x:v>
      </x:c>
      <x:c r="G11" s="37" t="str">
        <x:v>True</x:v>
      </x:c>
    </x:row>
    <x:row r="12">
      <x:c r="A12" s="37" t="str">
        <x:v>EXPL</x:v>
      </x:c>
      <x:c r="B12" s="37" t="str">
        <x:v>76</x:v>
      </x:c>
      <x:c r="C12" s="37" t="str">
        <x:v>fully_semantic_gameplay</x:v>
      </x:c>
      <x:c r="D12" s="38" t="str">
        <x:v>damage/radius/force/flags and delivery references</x:v>
      </x:c>
      <x:c r="E12" s="38" t="str">
        <x:v>explosions_full.csv;delivery_field_deltas.csv</x:v>
      </x:c>
      <x:c r="F12" s="38" t="str">
        <x:v>visual/audio refs retained as support evidence</x:v>
      </x:c>
      <x:c r="G12" s="37" t="str">
        <x:v>True</x:v>
      </x:c>
    </x:row>
    <x:row r="13">
      <x:c r="A13" s="37" t="str">
        <x:v>PROJ</x:v>
      </x:c>
      <x:c r="B13" s="37" t="str">
        <x:v>76</x:v>
      </x:c>
      <x:c r="C13" s="37" t="str">
        <x:v>fully_semantic_gameplay</x:v>
      </x:c>
      <x:c r="D13" s="38" t="str">
        <x:v>projectile type/speed/range/gravity/collision/lifetime and refs</x:v>
      </x:c>
      <x:c r="E13" s="38" t="str">
        <x:v>projectiles_full.csv;delivery_field_deltas.csv</x:v>
      </x:c>
      <x:c r="F13" s="38" t="str">
        <x:v>visual/audio refs retained as support evidence</x:v>
      </x:c>
      <x:c r="G13" s="37" t="str">
        <x:v>True</x:v>
      </x:c>
    </x:row>
    <x:row r="14">
      <x:c r="A14" s="37" t="str">
        <x:v>GMST</x:v>
      </x:c>
      <x:c r="B14" s="37" t="str">
        <x:v>74</x:v>
      </x:c>
      <x:c r="C14" s="37" t="str">
        <x:v>fully_semantic_gameplay</x:v>
      </x:c>
      <x:c r="D14" s="38" t="str">
        <x:v>typed game setting values and semantic EDID comparisons</x:v>
      </x:c>
      <x:c r="E14" s="38" t="str">
        <x:v>settings_full.csv;settings_module_deltas.csv</x:v>
      </x:c>
      <x:c r="F14" s="38" t="str">
        <x:v>runtime Papyrus writes modeled separately</x:v>
      </x:c>
      <x:c r="G14" s="37" t="str">
        <x:v>True</x:v>
      </x:c>
    </x:row>
    <x:row r="15">
      <x:c r="A15" s="37" t="str">
        <x:v>CSTY</x:v>
      </x:c>
      <x:c r="B15" s="37" t="str">
        <x:v>62</x:v>
      </x:c>
      <x:c r="C15" s="37" t="str">
        <x:v>fully_semantic_gameplay</x:v>
      </x:c>
      <x:c r="D15" s="38" t="str">
        <x:v>combat-style general/melee/range/flight fields</x:v>
      </x:c>
      <x:c r="E15" s="38" t="str">
        <x:v>combat_styles_full.csv;combat_style_numeric_baselines.csv</x:v>
      </x:c>
      <x:c r="F15" s="38" t="str">
        <x:v>Skyrim baseline bodies not supplied</x:v>
      </x:c>
      <x:c r="G15" s="37" t="str">
        <x:v>True</x:v>
      </x:c>
    </x:row>
    <x:row r="16">
      <x:c r="A16" s="37" t="str">
        <x:v>ARTO</x:v>
      </x:c>
      <x:c r="B16" s="37" t="str">
        <x:v>55</x:v>
      </x:c>
      <x:c r="C16" s="37" t="str">
        <x:v>presentation_support_inventory</x:v>
      </x:c>
      <x:c r="D16" s="38" t="str">
        <x:v>effect art type and model provenance</x:v>
      </x:c>
      <x:c r="E16" s="38" t="str">
        <x:v>records.csv;presentation_support_inventory.csv</x:v>
      </x:c>
      <x:c r="F16" s="38" t="str">
        <x:v>no independent balance inference</x:v>
      </x:c>
      <x:c r="G16" s="37" t="str">
        <x:v>True</x:v>
      </x:c>
    </x:row>
    <x:row r="17">
      <x:c r="A17" s="37" t="str">
        <x:v>NPC_</x:v>
      </x:c>
      <x:c r="B17" s="37" t="str">
        <x:v>51</x:v>
      </x:c>
      <x:c r="C17" s="37" t="str">
        <x:v>fully_semantic_gameplay</x:v>
      </x:c>
      <x:c r="D17" s="38" t="str">
        <x:v>summon stats, templates, AI, spells, perks, inventory and refs</x:v>
      </x:c>
      <x:c r="E17" s="38" t="str">
        <x:v>npcs_full.csv;npc_spells.csv;npc_perks.csv;npc_inventory.csv</x:v>
      </x:c>
      <x:c r="F17" s="38" t="str">
        <x:v>template-inherited values unknown when template body absent</x:v>
      </x:c>
      <x:c r="G17" s="37" t="str">
        <x:v>True</x:v>
      </x:c>
    </x:row>
    <x:row r="18">
      <x:c r="A18" s="37" t="str">
        <x:v>HAZD</x:v>
      </x:c>
      <x:c r="B18" s="37" t="str">
        <x:v>47</x:v>
      </x:c>
      <x:c r="C18" s="37" t="str">
        <x:v>fully_semantic_gameplay</x:v>
      </x:c>
      <x:c r="D18" s="38" t="str">
        <x:v>radius/lifetime/interval/flags/spell and impact refs</x:v>
      </x:c>
      <x:c r="E18" s="38" t="str">
        <x:v>hazards_full.csv;delivery_field_deltas.csv</x:v>
      </x:c>
      <x:c r="F18" s="38" t="str">
        <x:v>visual/audio refs retained as support evidence</x:v>
      </x:c>
      <x:c r="G18" s="37" t="str">
        <x:v>True</x:v>
      </x:c>
    </x:row>
    <x:row r="19">
      <x:c r="A19" s="37" t="str">
        <x:v>GLOB</x:v>
      </x:c>
      <x:c r="B19" s="37" t="str">
        <x:v>44</x:v>
      </x:c>
      <x:c r="C19" s="37" t="str">
        <x:v>fully_semantic_gameplay</x:v>
      </x:c>
      <x:c r="D19" s="38" t="str">
        <x:v>typed global values and canonical identity</x:v>
      </x:c>
      <x:c r="E19" s="38" t="str">
        <x:v>settings_full.csv;resolved_forms.csv</x:v>
      </x:c>
      <x:c r="F19" s="38" t="str">
        <x:v>runtime script mutations modeled separately</x:v>
      </x:c>
      <x:c r="G19" s="37" t="str">
        <x:v>True</x:v>
      </x:c>
    </x:row>
    <x:row r="20">
      <x:c r="A20" s="37" t="str">
        <x:v>FLST</x:v>
      </x:c>
      <x:c r="B20" s="37" t="str">
        <x:v>36</x:v>
      </x:c>
      <x:c r="C20" s="37" t="str">
        <x:v>fully_semantic_gameplay</x:v>
      </x:c>
      <x:c r="D20" s="38" t="str">
        <x:v>ordered canonical form membership and semantic deltas</x:v>
      </x:c>
      <x:c r="E20" s="38" t="str">
        <x:v>form_lists.csv;form_list_members.csv;distribution_item_semantic_deltas.csv</x:v>
      </x:c>
      <x:c r="F20" s="38" t="str">
        <x:v>none</x:v>
      </x:c>
      <x:c r="G20" s="37" t="str">
        <x:v>True</x:v>
      </x:c>
    </x:row>
    <x:row r="21">
      <x:c r="A21" s="37" t="str">
        <x:v>EFSH</x:v>
      </x:c>
      <x:c r="B21" s="37" t="str">
        <x:v>35</x:v>
      </x:c>
      <x:c r="C21" s="37" t="str">
        <x:v>presentation_support_inventory</x:v>
      </x:c>
      <x:c r="D21" s="38" t="str">
        <x:v>effect shader raw/typed source inventory</x:v>
      </x:c>
      <x:c r="E21" s="38" t="str">
        <x:v>records.csv;presentation_support_inventory.csv</x:v>
      </x:c>
      <x:c r="F21" s="38" t="str">
        <x:v>visual presentation, no independent balance inference</x:v>
      </x:c>
      <x:c r="G21" s="37" t="str">
        <x:v>True</x:v>
      </x:c>
    </x:row>
    <x:row r="22">
      <x:c r="A22" s="37" t="str">
        <x:v>IPCT</x:v>
      </x:c>
      <x:c r="B22" s="37" t="str">
        <x:v>31</x:v>
      </x:c>
      <x:c r="C22" s="37" t="str">
        <x:v>presentation_support_inventory</x:v>
      </x:c>
      <x:c r="D22" s="38" t="str">
        <x:v>impact presentation/physics support inventory</x:v>
      </x:c>
      <x:c r="E22" s="38" t="str">
        <x:v>records.csv;presentation_support_inventory.csv</x:v>
      </x:c>
      <x:c r="F22" s="38" t="str">
        <x:v>not promoted as a balance channel</x:v>
      </x:c>
      <x:c r="G22" s="37" t="str">
        <x:v>True</x:v>
      </x:c>
    </x:row>
    <x:row r="23">
      <x:c r="A23" s="37" t="str">
        <x:v>DUAL</x:v>
      </x:c>
      <x:c r="B23" s="37" t="str">
        <x:v>26</x:v>
      </x:c>
      <x:c r="C23" s="37" t="str">
        <x:v>fully_semantic_gameplay</x:v>
      </x:c>
      <x:c r="D23" s="38" t="str">
        <x:v>dual-cast projectile/explosion/art/impact links and scale flags</x:v>
      </x:c>
      <x:c r="E23" s="38" t="str">
        <x:v>dual_cast_data.csv</x:v>
      </x:c>
      <x:c r="F23" s="38" t="str">
        <x:v>visual refs remain support evidence</x:v>
      </x:c>
      <x:c r="G23" s="37" t="str">
        <x:v>True</x:v>
      </x:c>
    </x:row>
    <x:row r="24">
      <x:c r="A24" s="37" t="str">
        <x:v>AVIF</x:v>
      </x:c>
      <x:c r="B24" s="37" t="str">
        <x:v>25</x:v>
      </x:c>
      <x:c r="C24" s="37" t="str">
        <x:v>fully_semantic_gameplay</x:v>
      </x:c>
      <x:c r="D24" s="38" t="str">
        <x:v>skill coefficients plus perk-tree geometry/graph deltas</x:v>
      </x:c>
      <x:c r="E24" s="38" t="str">
        <x:v>actor_values_full.csv;perk_tree_nodes.csv;perk_tree_edges.csv;perk_tree_deltas.csv</x:v>
      </x:c>
      <x:c r="F24" s="38" t="str">
        <x:v>graph topology is not prerequisite logic</x:v>
      </x:c>
      <x:c r="G24" s="37" t="str">
        <x:v>True</x:v>
      </x:c>
    </x:row>
    <x:row r="25">
      <x:c r="A25" s="37" t="str">
        <x:v>CONT</x:v>
      </x:c>
      <x:c r="B25" s="37" t="str">
        <x:v>22</x:v>
      </x:c>
      <x:c r="C25" s="37" t="str">
        <x:v>fully_semantic_gameplay</x:v>
      </x:c>
      <x:c r="D25" s="38" t="str">
        <x:v>container flags and inventory/distribution contents</x:v>
      </x:c>
      <x:c r="E25" s="38" t="str">
        <x:v>containers_full.csv;container_items.csv</x:v>
      </x:c>
      <x:c r="F25" s="38" t="str">
        <x:v>visual model ignored for balance</x:v>
      </x:c>
      <x:c r="G25" s="37" t="str">
        <x:v>True</x:v>
      </x:c>
    </x:row>
    <x:row r="26">
      <x:c r="A26" s="37" t="str">
        <x:v>TES4</x:v>
      </x:c>
      <x:c r="B26" s="37" t="str">
        <x:v>21</x:v>
      </x:c>
      <x:c r="C26" s="37" t="str">
        <x:v>provenance_header</x:v>
      </x:c>
      <x:c r="D26" s="38" t="str">
        <x:v>plugin metadata/master/version provenance</x:v>
      </x:c>
      <x:c r="E26" s="38" t="str">
        <x:v>plugins.csv;records.csv</x:v>
      </x:c>
      <x:c r="F26" s="38" t="str">
        <x:v>not a gameplay record</x:v>
      </x:c>
      <x:c r="G26" s="37" t="str">
        <x:v>True</x:v>
      </x:c>
    </x:row>
    <x:row r="27">
      <x:c r="A27" s="37" t="str">
        <x:v>SNDR</x:v>
      </x:c>
      <x:c r="B27" s="37" t="str">
        <x:v>19</x:v>
      </x:c>
      <x:c r="C27" s="37" t="str">
        <x:v>presentation_support_inventory</x:v>
      </x:c>
      <x:c r="D27" s="38" t="str">
        <x:v>sound descriptor inventory and provenance</x:v>
      </x:c>
      <x:c r="E27" s="38" t="str">
        <x:v>records.csv;presentation_support_inventory.csv</x:v>
      </x:c>
      <x:c r="F27" s="38" t="str">
        <x:v>audio presentation; no balance inference</x:v>
      </x:c>
      <x:c r="G27" s="37" t="str">
        <x:v>True</x:v>
      </x:c>
    </x:row>
    <x:row r="28">
      <x:c r="A28" s="37" t="str">
        <x:v>IPDS</x:v>
      </x:c>
      <x:c r="B28" s="37" t="str">
        <x:v>18</x:v>
      </x:c>
      <x:c r="C28" s="37" t="str">
        <x:v>presentation_support_inventory</x:v>
      </x:c>
      <x:c r="D28" s="38" t="str">
        <x:v>impact-data-set membership inventory</x:v>
      </x:c>
      <x:c r="E28" s="38" t="str">
        <x:v>records.csv;presentation_support_inventory.csv</x:v>
      </x:c>
      <x:c r="F28" s="38" t="str">
        <x:v>presentation/support mapping only</x:v>
      </x:c>
      <x:c r="G28" s="37" t="str">
        <x:v>True</x:v>
      </x:c>
    </x:row>
    <x:row r="29">
      <x:c r="A29" s="37" t="str">
        <x:v>STAT</x:v>
      </x:c>
      <x:c r="B29" s="37" t="str">
        <x:v>17</x:v>
      </x:c>
      <x:c r="C29" s="37" t="str">
        <x:v>presentation_support_inventory</x:v>
      </x:c>
      <x:c r="D29" s="38" t="str">
        <x:v>static model/material inventory</x:v>
      </x:c>
      <x:c r="E29" s="38" t="str">
        <x:v>records.csv;presentation_support_inventory.csv</x:v>
      </x:c>
      <x:c r="F29" s="38" t="str">
        <x:v>no independent balance payload</x:v>
      </x:c>
      <x:c r="G29" s="37" t="str">
        <x:v>True</x:v>
      </x:c>
    </x:row>
    <x:row r="30">
      <x:c r="A30" s="37" t="str">
        <x:v>IDLE</x:v>
      </x:c>
      <x:c r="B30" s="37" t="str">
        <x:v>16</x:v>
      </x:c>
      <x:c r="C30" s="37" t="str">
        <x:v>fully_semantic_gameplay</x:v>
      </x:c>
      <x:c r="D30" s="38" t="str">
        <x:v>animation event/parent/loop metadata plus CTDA comparisons</x:v>
      </x:c>
      <x:c r="E30" s="38" t="str">
        <x:v>idles_full.csv;idle_module_comparisons.csv</x:v>
      </x:c>
      <x:c r="F30" s="38" t="str">
        <x:v>animation asset bodies remain binary inventory</x:v>
      </x:c>
      <x:c r="G30" s="37" t="str">
        <x:v>True</x:v>
      </x:c>
    </x:row>
    <x:row r="31">
      <x:c r="A31" s="37" t="str">
        <x:v>REFR</x:v>
      </x:c>
      <x:c r="B31" s="37" t="str">
        <x:v>16</x:v>
      </x:c>
      <x:c r="C31" s="37" t="str">
        <x:v>typed_support_world</x:v>
      </x:c>
      <x:c r="D31" s="38" t="str">
        <x:v>base object, location/cell/world and transform</x:v>
      </x:c>
      <x:c r="E31" s="38" t="str">
        <x:v>placed_references.csv;support_relations.csv</x:v>
      </x:c>
      <x:c r="F31" s="38" t="str">
        <x:v>placement evidence, not general balance law</x:v>
      </x:c>
      <x:c r="G31" s="37" t="str">
        <x:v>True</x:v>
      </x:c>
    </x:row>
    <x:row r="32">
      <x:c r="A32" s="37" t="str">
        <x:v>MESG</x:v>
      </x:c>
      <x:c r="B32" s="37" t="str">
        <x:v>15</x:v>
      </x:c>
      <x:c r="C32" s="37" t="str">
        <x:v>typed_support_ui</x:v>
      </x:c>
      <x:c r="D32" s="38" t="str">
        <x:v>message flags/text response structure and quest links</x:v>
      </x:c>
      <x:c r="E32" s="38" t="str">
        <x:v>messages_full.csv</x:v>
      </x:c>
      <x:c r="F32" s="38" t="str">
        <x:v>UI/user feedback support</x:v>
      </x:c>
      <x:c r="G32" s="37" t="str">
        <x:v>True</x:v>
      </x:c>
    </x:row>
    <x:row r="33">
      <x:c r="A33" s="37" t="str">
        <x:v>MOVT</x:v>
      </x:c>
      <x:c r="B33" s="37" t="str">
        <x:v>12</x:v>
      </x:c>
      <x:c r="C33" s="37" t="str">
        <x:v>fully_semantic_gameplay</x:v>
      </x:c>
      <x:c r="D33" s="38" t="str">
        <x:v>directional movement speeds/rotation/thresholds</x:v>
      </x:c>
      <x:c r="E33" s="38" t="str">
        <x:v>movement_types_full.csv;movement_numeric_baselines.csv</x:v>
      </x:c>
      <x:c r="F33" s="38" t="str">
        <x:v>Skyrim baselines not supplied</x:v>
      </x:c>
      <x:c r="G33" s="37" t="str">
        <x:v>True</x:v>
      </x:c>
    </x:row>
    <x:row r="34">
      <x:c r="A34" s="37" t="str">
        <x:v>CELL</x:v>
      </x:c>
      <x:c r="B34" s="37" t="str">
        <x:v>11</x:v>
      </x:c>
      <x:c r="C34" s="37" t="str">
        <x:v>typed_support_world</x:v>
      </x:c>
      <x:c r="D34" s="38" t="str">
        <x:v>cell flags, grid, location/climate/water/encounter/music refs</x:v>
      </x:c>
      <x:c r="E34" s="38" t="str">
        <x:v>cells_support.csv;support_relations.csv</x:v>
      </x:c>
      <x:c r="F34" s="38" t="str">
        <x:v>lighting presentation fields not mined for balance</x:v>
      </x:c>
      <x:c r="G34" s="37" t="str">
        <x:v>True</x:v>
      </x:c>
    </x:row>
    <x:row r="35">
      <x:c r="A35" s="37" t="str">
        <x:v>LIGH</x:v>
      </x:c>
      <x:c r="B35" s="37" t="str">
        <x:v>11</x:v>
      </x:c>
      <x:c r="C35" s="37" t="str">
        <x:v>presentation_support_inventory</x:v>
      </x:c>
      <x:c r="D35" s="38" t="str">
        <x:v>light record inventory</x:v>
      </x:c>
      <x:c r="E35" s="38" t="str">
        <x:v>records.csv;presentation_support_inventory.csv</x:v>
      </x:c>
      <x:c r="F35" s="38" t="str">
        <x:v>visual presentation only</x:v>
      </x:c>
      <x:c r="G35" s="37" t="str">
        <x:v>True</x:v>
      </x:c>
    </x:row>
    <x:row r="36">
      <x:c r="A36" s="37" t="str">
        <x:v>ADDN</x:v>
      </x:c>
      <x:c r="B36" s="37" t="str">
        <x:v>10</x:v>
      </x:c>
      <x:c r="C36" s="37" t="str">
        <x:v>presentation_support_inventory</x:v>
      </x:c>
      <x:c r="D36" s="38" t="str">
        <x:v>addon-node model/flags inventory</x:v>
      </x:c>
      <x:c r="E36" s="38" t="str">
        <x:v>records.csv;presentation_support_inventory.csv</x:v>
      </x:c>
      <x:c r="F36" s="38" t="str">
        <x:v>presentation/runtime support, no independent balance inference</x:v>
      </x:c>
      <x:c r="G36" s="37" t="str">
        <x:v>True</x:v>
      </x:c>
    </x:row>
    <x:row r="37">
      <x:c r="A37" s="37" t="str">
        <x:v>IMAD</x:v>
      </x:c>
      <x:c r="B37" s="37" t="str">
        <x:v>10</x:v>
      </x:c>
      <x:c r="C37" s="37" t="str">
        <x:v>presentation_support_inventory</x:v>
      </x:c>
      <x:c r="D37" s="38" t="str">
        <x:v>image-space modifier inventory</x:v>
      </x:c>
      <x:c r="E37" s="38" t="str">
        <x:v>records.csv;presentation_support_inventory.csv</x:v>
      </x:c>
      <x:c r="F37" s="38" t="str">
        <x:v>visual presentation only</x:v>
      </x:c>
      <x:c r="G37" s="37" t="str">
        <x:v>True</x:v>
      </x:c>
    </x:row>
    <x:row r="38">
      <x:c r="A38" s="37" t="str">
        <x:v>QUST</x:v>
      </x:c>
      <x:c r="B38" s="37" t="str">
        <x:v>10</x:v>
      </x:c>
      <x:c r="C38" s="37" t="str">
        <x:v>typed_behavioral_controller</x:v>
      </x:c>
      <x:c r="D38" s="38" t="str">
        <x:v>quest headers/stages plus VMAD scripts/fragments/aliases</x:v>
      </x:c>
      <x:c r="E38" s="38" t="str">
        <x:v>quests_full.csv;quest_stages.csv;quest_vmad_*</x:v>
      </x:c>
      <x:c r="F38" s="38" t="str">
        <x:v>full quest objective/alias fill semantics only modeled where behavior-relevant</x:v>
      </x:c>
      <x:c r="G38" s="37" t="str">
        <x:v>True</x:v>
      </x:c>
    </x:row>
    <x:row r="39">
      <x:c r="A39" s="37" t="str">
        <x:v>TXST</x:v>
      </x:c>
      <x:c r="B39" s="37" t="str">
        <x:v>9</x:v>
      </x:c>
      <x:c r="C39" s="37" t="str">
        <x:v>presentation_support_inventory</x:v>
      </x:c>
      <x:c r="D39" s="38" t="str">
        <x:v>texture-set inventory</x:v>
      </x:c>
      <x:c r="E39" s="38" t="str">
        <x:v>records.csv;presentation_support_inventory.csv</x:v>
      </x:c>
      <x:c r="F39" s="38" t="str">
        <x:v>visual presentation only</x:v>
      </x:c>
      <x:c r="G39" s="37" t="str">
        <x:v>True</x:v>
      </x:c>
    </x:row>
    <x:row r="40">
      <x:c r="A40" s="37" t="str">
        <x:v>MISC</x:v>
      </x:c>
      <x:c r="B40" s="37" t="str">
        <x:v>8</x:v>
      </x:c>
      <x:c r="C40" s="37" t="str">
        <x:v>fully_semantic_gameplay</x:v>
      </x:c>
      <x:c r="D40" s="38" t="str">
        <x:v>item value/weight/keywords</x:v>
      </x:c>
      <x:c r="E40" s="38" t="str">
        <x:v>misc_items.csv</x:v>
      </x:c>
      <x:c r="F40" s="38" t="str">
        <x:v>visual assets ignored for balance</x:v>
      </x:c>
      <x:c r="G40" s="37" t="str">
        <x:v>True</x:v>
      </x:c>
    </x:row>
    <x:row r="41">
      <x:c r="A41" s="37" t="str">
        <x:v>ARMO</x:v>
      </x:c>
      <x:c r="B41" s="37" t="str">
        <x:v>7</x:v>
      </x:c>
      <x:c r="C41" s="37" t="str">
        <x:v>fully_semantic_gameplay</x:v>
      </x:c>
      <x:c r="D41" s="38" t="str">
        <x:v>value/weight/armor rating/enchantment/equip/body keywords</x:v>
      </x:c>
      <x:c r="E41" s="38" t="str">
        <x:v>armor_gameplay.csv;actor_equipment_deltas.csv</x:v>
      </x:c>
      <x:c r="F41" s="38" t="str">
        <x:v>worn-model geometry delegated to ARMA inventory</x:v>
      </x:c>
      <x:c r="G41" s="37" t="str">
        <x:v>True</x:v>
      </x:c>
    </x:row>
    <x:row r="42">
      <x:c r="A42" s="37" t="str">
        <x:v>ALCH</x:v>
      </x:c>
      <x:c r="B42" s="37" t="str">
        <x:v>6</x:v>
      </x:c>
      <x:c r="C42" s="37" t="str">
        <x:v>fully_semantic_gameplay</x:v>
      </x:c>
      <x:c r="D42" s="38" t="str">
        <x:v>consumable value/weight/flags/effect tuples</x:v>
      </x:c>
      <x:c r="E42" s="38" t="str">
        <x:v>alchemy_items.csv</x:v>
      </x:c>
      <x:c r="F42" s="38" t="str">
        <x:v>none</x:v>
      </x:c>
      <x:c r="G42" s="37" t="str">
        <x:v>True</x:v>
      </x:c>
    </x:row>
    <x:row r="43">
      <x:c r="A43" s="37" t="str">
        <x:v>AMMO</x:v>
      </x:c>
      <x:c r="B43" s="37" t="str">
        <x:v>6</x:v>
      </x:c>
      <x:c r="C43" s="37" t="str">
        <x:v>fully_semantic_gameplay</x:v>
      </x:c>
      <x:c r="D43" s="38" t="str">
        <x:v>projectile/damage/value/weight/flags</x:v>
      </x:c>
      <x:c r="E43" s="38" t="str">
        <x:v>ammo_gameplay.csv</x:v>
      </x:c>
      <x:c r="F43" s="38" t="str">
        <x:v>model/icon presentation ignored</x:v>
      </x:c>
      <x:c r="G43" s="37" t="str">
        <x:v>True</x:v>
      </x:c>
    </x:row>
    <x:row r="44">
      <x:c r="A44" s="37" t="str">
        <x:v>SMQN</x:v>
      </x:c>
      <x:c r="B44" s="37" t="str">
        <x:v>6</x:v>
      </x:c>
      <x:c r="C44" s="37" t="str">
        <x:v>typed_behavioral_controller</x:v>
      </x:c>
      <x:c r="D44" s="38" t="str">
        <x:v>story-manager conditions/quest routing/reset data</x:v>
      </x:c>
      <x:c r="E44" s="38" t="str">
        <x:v>story_manager_quest_nodes.csv;story_manager_node_quests.csv</x:v>
      </x:c>
      <x:c r="F44" s="38" t="str">
        <x:v>parent story tree outside supplied records may be external</x:v>
      </x:c>
      <x:c r="G44" s="37" t="str">
        <x:v>True</x:v>
      </x:c>
    </x:row>
    <x:row r="45">
      <x:c r="A45" s="37" t="str">
        <x:v>ACTI</x:v>
      </x:c>
      <x:c r="B45" s="37" t="str">
        <x:v>4</x:v>
      </x:c>
      <x:c r="C45" s="37" t="str">
        <x:v>typed_support_interaction</x:v>
      </x:c>
      <x:c r="D45" s="38" t="str">
        <x:v>activator text/flags/VMAD/interactions</x:v>
      </x:c>
      <x:c r="E45" s="38" t="str">
        <x:v>activators_support.csv;generic_vmad_*</x:v>
      </x:c>
      <x:c r="F45" s="38" t="str">
        <x:v>models/presentation ignored for balance</x:v>
      </x:c>
      <x:c r="G45" s="37" t="str">
        <x:v>True</x:v>
      </x:c>
    </x:row>
    <x:row r="46">
      <x:c r="A46" s="37" t="str">
        <x:v>SOUN</x:v>
      </x:c>
      <x:c r="B46" s="37" t="str">
        <x:v>4</x:v>
      </x:c>
      <x:c r="C46" s="37" t="str">
        <x:v>presentation_support_inventory</x:v>
      </x:c>
      <x:c r="D46" s="38" t="str">
        <x:v>legacy sound reference inventory</x:v>
      </x:c>
      <x:c r="E46" s="38" t="str">
        <x:v>records.csv;presentation_support_inventory.csv</x:v>
      </x:c>
      <x:c r="F46" s="38" t="str">
        <x:v>audio presentation only</x:v>
      </x:c>
      <x:c r="G46" s="37" t="str">
        <x:v>True</x:v>
      </x:c>
    </x:row>
    <x:row r="47">
      <x:c r="A47" s="37" t="str">
        <x:v>ARMA</x:v>
      </x:c>
      <x:c r="B47" s="37" t="str">
        <x:v>3</x:v>
      </x:c>
      <x:c r="C47" s="37" t="str">
        <x:v>presentation_support_inventory</x:v>
      </x:c>
      <x:c r="D47" s="38" t="str">
        <x:v>armor-addon body/model/race support inventory</x:v>
      </x:c>
      <x:c r="E47" s="38" t="str">
        <x:v>records.csv;presentation_support_inventory.csv</x:v>
      </x:c>
      <x:c r="F47" s="38" t="str">
        <x:v>ARMO carries gameplay armor stats; ARMA treated as worn-model support</x:v>
      </x:c>
      <x:c r="G47" s="37" t="str">
        <x:v>True</x:v>
      </x:c>
    </x:row>
    <x:row r="48">
      <x:c r="A48" s="37" t="str">
        <x:v>OTFT</x:v>
      </x:c>
      <x:c r="B48" s="37" t="str">
        <x:v>3</x:v>
      </x:c>
      <x:c r="C48" s="37" t="str">
        <x:v>fully_semantic_gameplay</x:v>
      </x:c>
      <x:c r="D48" s="38" t="str">
        <x:v>actor outfit item membership</x:v>
      </x:c>
      <x:c r="E48" s="38" t="str">
        <x:v>outfits_full.csv;outfit_items.csv</x:v>
      </x:c>
      <x:c r="F48" s="38" t="str">
        <x:v>visual assets delegated to item records</x:v>
      </x:c>
      <x:c r="G48" s="37" t="str">
        <x:v>True</x:v>
      </x:c>
    </x:row>
    <x:row r="49">
      <x:c r="A49" s="37" t="str">
        <x:v>CLAS</x:v>
      </x:c>
      <x:c r="B49" s="37" t="str">
        <x:v>2</x:v>
      </x:c>
      <x:c r="C49" s="37" t="str">
        <x:v>fully_semantic_gameplay</x:v>
      </x:c>
      <x:c r="D49" s="38" t="str">
        <x:v>training, skill weights and attribute weights</x:v>
      </x:c>
      <x:c r="E49" s="38" t="str">
        <x:v>classes_full.csv</x:v>
      </x:c>
      <x:c r="F49" s="38" t="str">
        <x:v>none</x:v>
      </x:c>
      <x:c r="G49" s="37" t="str">
        <x:v>True</x:v>
      </x:c>
    </x:row>
    <x:row r="50">
      <x:c r="A50" s="37" t="str">
        <x:v>FACT</x:v>
      </x:c>
      <x:c r="B50" s="37" t="str">
        <x:v>2</x:v>
      </x:c>
      <x:c r="C50" s="37" t="str">
        <x:v>typed_support_distribution</x:v>
      </x:c>
      <x:c r="D50" s="38" t="str">
        <x:v>vendor/crime flags, lists/chests and conditions</x:v>
      </x:c>
      <x:c r="E50" s="38" t="str">
        <x:v>factions_support.csv;faction_relations.csv</x:v>
      </x:c>
      <x:c r="F50" s="38" t="str">
        <x:v>external faction baselines may be absent</x:v>
      </x:c>
      <x:c r="G50" s="37" t="str">
        <x:v>True</x:v>
      </x:c>
    </x:row>
    <x:row r="51">
      <x:c r="A51" s="37" t="str">
        <x:v>RACE</x:v>
      </x:c>
      <x:c r="B51" s="37" t="str">
        <x:v>2</x:v>
      </x:c>
      <x:c r="C51" s="37" t="str">
        <x:v>fully_semantic_gameplay</x:v>
      </x:c>
      <x:c r="D51" s="38" t="str">
        <x:v>base stats, skill boosts, regen, unarmed/equipment capabilities</x:v>
      </x:c>
      <x:c r="E51" s="38" t="str">
        <x:v>races_gameplay.csv;race_spells.csv</x:v>
      </x:c>
      <x:c r="F51" s="38" t="str">
        <x:v>facegen/morph data inventory-only</x:v>
      </x:c>
      <x:c r="G51" s="37" t="str">
        <x:v>True</x:v>
      </x:c>
    </x:row>
    <x:row r="52">
      <x:c r="A52" s="37" t="str">
        <x:v>WRLD</x:v>
      </x:c>
      <x:c r="B52" s="37" t="str">
        <x:v>2</x:v>
      </x:c>
      <x:c r="C52" s="37" t="str">
        <x:v>typed_support_world</x:v>
      </x:c>
      <x:c r="D52" s="38" t="str">
        <x:v>world flags/parent/climate/location/water/music</x:v>
      </x:c>
      <x:c r="E52" s="38" t="str">
        <x:v>worldspaces_support.csv;support_relations.csv</x:v>
      </x:c>
      <x:c r="F52" s="38" t="str">
        <x:v>landscape/LOD presentation not mined for balance</x:v>
      </x:c>
      <x:c r="G52" s="37" t="str">
        <x:v>True</x:v>
      </x:c>
    </x:row>
    <x:row r="53">
      <x:c r="A53" s="37" t="str">
        <x:v>HDPT</x:v>
      </x:c>
      <x:c r="B53" s="37" t="str">
        <x:v>1</x:v>
      </x:c>
      <x:c r="C53" s="37" t="str">
        <x:v>presentation_support_inventory</x:v>
      </x:c>
      <x:c r="D53" s="38" t="str">
        <x:v>head-part inventory</x:v>
      </x:c>
      <x:c r="E53" s="38" t="str">
        <x:v>records.csv;presentation_support_inventory.csv</x:v>
      </x:c>
      <x:c r="F53" s="38" t="str">
        <x:v>cosmetic only</x:v>
      </x:c>
      <x:c r="G53" s="37" t="str">
        <x:v>True</x:v>
      </x:c>
    </x:row>
    <x:row r="54">
      <x:c r="A54" s="37" t="str">
        <x:v>LSCR</x:v>
      </x:c>
      <x:c r="B54" s="37" t="str">
        <x:v>1</x:v>
      </x:c>
      <x:c r="C54" s="37" t="str">
        <x:v>presentation_support_inventory</x:v>
      </x:c>
      <x:c r="D54" s="38" t="str">
        <x:v>load-screen model/text inventory</x:v>
      </x:c>
      <x:c r="E54" s="38" t="str">
        <x:v>records.csv;presentation_support_inventory.csv</x:v>
      </x:c>
      <x:c r="F54" s="38" t="str">
        <x:v>presentation only</x:v>
      </x:c>
      <x:c r="G54" s="37" t="str">
        <x:v>True</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0" hidden="0" customWidth="1"/>
    <x:col min="2" max="2" width="20" hidden="0" customWidth="1"/>
    <x:col min="3" max="3" width="20" hidden="0" customWidth="1"/>
    <x:col min="4" max="4" width="20" hidden="0" customWidth="1"/>
    <x:col min="5" max="5" width="14" hidden="0" customWidth="1"/>
    <x:col min="6" max="6" width="24" hidden="0" customWidth="1"/>
    <x:col min="7" max="7" width="20" hidden="0" customWidth="1"/>
    <x:col min="8" max="8" width="38"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20" hidden="0" customWidth="1"/>
    <x:col min="18" max="18" width="14" hidden="0" customWidth="1"/>
    <x:col min="19" max="19" width="14" hidden="0" customWidth="1"/>
    <x:col min="20" max="20" width="38" hidden="0" customWidth="1"/>
    <x:col min="21" max="21" width="14" hidden="0" customWidth="1"/>
    <x:col min="22" max="22" width="20" hidden="0" customWidth="1"/>
    <x:col min="23" max="23" width="14" hidden="0" customWidth="1"/>
    <x:col min="24" max="24" width="20" hidden="0" customWidth="1"/>
    <x:col min="25" max="25" width="14" hidden="0" customWidth="1"/>
    <x:col min="26" max="26" width="20" hidden="0" customWidth="1"/>
    <x:col min="27" max="27" width="38" hidden="0" customWidth="1"/>
    <x:col min="28" max="28" width="14" hidden="0" customWidth="1"/>
  </x:cols>
  <x:sheetData>
    <x:row r="1">
      <x:c r="A1" s="36" t="str">
        <x:v>candidate_id</x:v>
      </x:c>
      <x:c r="B1" s="36" t="str">
        <x:v>domain</x:v>
      </x:c>
      <x:c r="C1" s="36" t="str">
        <x:v>source_kind</x:v>
      </x:c>
      <x:c r="D1" s="36" t="str">
        <x:v>candidate_type</x:v>
      </x:c>
      <x:c r="E1" s="36" t="str">
        <x:v>scope_mod</x:v>
      </x:c>
      <x:c r="F1" s="36" t="str">
        <x:v>scope_plugins</x:v>
      </x:c>
      <x:c r="G1" s="36" t="str">
        <x:v>module_roles</x:v>
      </x:c>
      <x:c r="H1" s="36" t="str">
        <x:v>proposition</x:v>
      </x:c>
      <x:c r="I1" s="36" t="str">
        <x:v>sample_count</x:v>
      </x:c>
      <x:c r="J1" s="36" t="str">
        <x:v>evidence_ids</x:v>
      </x:c>
      <x:c r="K1" s="36" t="str">
        <x:v>evidence_basis</x:v>
      </x:c>
      <x:c r="L1" s="36" t="str">
        <x:v>baseline_status</x:v>
      </x:c>
      <x:c r="M1" s="36" t="str">
        <x:v>counterexample_status</x:v>
      </x:c>
      <x:c r="N1" s="36" t="str">
        <x:v>counterexample_count</x:v>
      </x:c>
      <x:c r="O1" s="36" t="str">
        <x:v>contamination_flags</x:v>
      </x:c>
      <x:c r="P1" s="36" t="str">
        <x:v>confidence_score</x:v>
      </x:c>
      <x:c r="Q1" s="36" t="str">
        <x:v>confidence_label</x:v>
      </x:c>
      <x:c r="R1" s="36" t="str">
        <x:v>status</x:v>
      </x:c>
      <x:c r="S1" s="36" t="str">
        <x:v>approved_rule</x:v>
      </x:c>
      <x:c r="T1" s="36" t="str">
        <x:v>review_notes</x:v>
      </x:c>
      <x:c r="U1" s="36" t="str">
        <x:v>evidence_strength_score</x:v>
      </x:c>
      <x:c r="V1" s="36" t="str">
        <x:v>evidence_strength_label</x:v>
      </x:c>
      <x:c r="W1" s="36" t="str">
        <x:v>generalizability_score</x:v>
      </x:c>
      <x:c r="X1" s="36" t="str">
        <x:v>generalizability_label</x:v>
      </x:c>
      <x:c r="Y1" s="36" t="str">
        <x:v>promotion_readiness_score</x:v>
      </x:c>
      <x:c r="Z1" s="36" t="str">
        <x:v>promotion_readiness_label</x:v>
      </x:c>
      <x:c r="AA1" s="36" t="str">
        <x:v>promotion_risks</x:v>
      </x:c>
      <x:c r="AB1" s="36" t="str">
        <x:v>promotion_decision</x:v>
      </x:c>
    </x:row>
    <x:row r="2">
      <x:c r="A2" s="37" t="str">
        <x:v>RC-0001</x:v>
      </x:c>
      <x:c r="B2" s="37" t="str">
        <x:v>combat_style</x:v>
      </x:c>
      <x:c r="C2" s="37" t="str">
        <x:v>observed_pattern</x:v>
      </x:c>
      <x:c r="D2" s="37" t="str">
        <x:v>repeated_implementation_profile</x:v>
      </x:c>
      <x:c r="E2" s="37" t="str">
        <x:v>Blade and Blunt</x:v>
      </x:c>
      <x:c r="F2" s="37" t="str">
        <x:v>BladeAndBlunt.esp</x:v>
      </x:c>
      <x:c r="G2" s="37" t="str">
        <x:v>main</x:v>
      </x:c>
      <x:c r="H2" s="38" t="str">
        <x:v>Within BladeAndBlunt.esp, the combat_style implementation repeatedly uses: Dueling | dominant Magic; observed center: offense=1.0; defense=0.25; strafe=0.20000000298023224</x:v>
      </x:c>
      <x:c r="I2" s="37" t="str">
        <x:v>6</x:v>
      </x:c>
      <x:c r="J2" s="37" t="str">
        <x:v>observed_patterns:combat_style:Dueling | dominant Magic</x:v>
      </x:c>
      <x:c r="K2" s="37" t="str">
        <x:v>descriptive_frequency</x:v>
      </x:c>
      <x:c r="L2" s="37" t="str">
        <x:v>mixed_or_external_missing</x:v>
      </x:c>
      <x:c r="M2" s="37" t="str">
        <x:v>alternative_profiles_present</x:v>
      </x:c>
      <x:c r="N2" s="37" t="str">
        <x:v>6</x:v>
      </x:c>
      <x:c r="O2" s="37" t="str"/>
      <x:c r="P2" s="37" t="str">
        <x:v>42</x:v>
      </x:c>
      <x:c r="Q2" s="37" t="str">
        <x:v>low</x:v>
      </x:c>
      <x:c r="R2" s="37" t="str">
        <x:v>review_required</x:v>
      </x:c>
      <x:c r="S2" s="37" t="str">
        <x:v>False</x:v>
      </x:c>
      <x:c r="T2" s="38" t="str">
        <x:v>Do not promote without scope review, exception review, and author-intent/baseline corroboration.</x:v>
      </x:c>
      <x:c r="U2" s="37" t="str">
        <x:v>62</x:v>
      </x:c>
      <x:c r="V2" s="37" t="str">
        <x:v>medium</x:v>
      </x:c>
      <x:c r="W2" s="37" t="str">
        <x:v>40</x:v>
      </x:c>
      <x:c r="X2" s="37" t="str">
        <x:v>low</x:v>
      </x:c>
      <x:c r="Y2" s="37" t="str">
        <x:v>42</x:v>
      </x:c>
      <x:c r="Z2" s="37" t="str">
        <x:v>low</x:v>
      </x:c>
      <x:c r="AA2" s="38" t="str">
        <x:v>alternative_profiles_present;baseline_incomplete</x:v>
      </x:c>
      <x:c r="AB2" s="37" t="str">
        <x:v>review_required</x:v>
      </x:c>
    </x:row>
    <x:row r="3">
      <x:c r="A3" s="37" t="str">
        <x:v>RC-0002</x:v>
      </x:c>
      <x:c r="B3" s="37" t="str">
        <x:v>combat_style</x:v>
      </x:c>
      <x:c r="C3" s="37" t="str">
        <x:v>observed_pattern</x:v>
      </x:c>
      <x:c r="D3" s="37" t="str">
        <x:v>repeated_implementation_profile</x:v>
      </x:c>
      <x:c r="E3" s="37" t="str">
        <x:v>Blade and Blunt</x:v>
      </x:c>
      <x:c r="F3" s="37" t="str">
        <x:v>BladeAndBlunt.esp</x:v>
      </x:c>
      <x:c r="G3" s="37" t="str">
        <x:v>main</x:v>
      </x:c>
      <x:c r="H3" s="38" t="str">
        <x:v>Within BladeAndBlunt.esp, the combat_style implementation repeatedly uses: Dueling | dominant Melee; observed center: offense=0.6499999761581421; defense=0.3499999940395355; strafe=0.20000000298023224</x:v>
      </x:c>
      <x:c r="I3" s="37" t="str">
        <x:v>17</x:v>
      </x:c>
      <x:c r="J3" s="37" t="str">
        <x:v>observed_patterns:combat_style:Dueling | dominant Melee</x:v>
      </x:c>
      <x:c r="K3" s="37" t="str">
        <x:v>descriptive_frequency</x:v>
      </x:c>
      <x:c r="L3" s="37" t="str">
        <x:v>mixed_or_external_missing</x:v>
      </x:c>
      <x:c r="M3" s="37" t="str">
        <x:v>alternative_profiles_present</x:v>
      </x:c>
      <x:c r="N3" s="37" t="str">
        <x:v>6</x:v>
      </x:c>
      <x:c r="O3" s="37" t="str"/>
      <x:c r="P3" s="37" t="str">
        <x:v>48</x:v>
      </x:c>
      <x:c r="Q3" s="37" t="str">
        <x:v>low</x:v>
      </x:c>
      <x:c r="R3" s="37" t="str">
        <x:v>review_required</x:v>
      </x:c>
      <x:c r="S3" s="37" t="str">
        <x:v>False</x:v>
      </x:c>
      <x:c r="T3" s="38" t="str">
        <x:v>Do not promote without scope review, exception review, and author-intent/baseline corroboration.</x:v>
      </x:c>
      <x:c r="U3" s="37" t="str">
        <x:v>70</x:v>
      </x:c>
      <x:c r="V3" s="37" t="str">
        <x:v>medium</x:v>
      </x:c>
      <x:c r="W3" s="37" t="str">
        <x:v>40</x:v>
      </x:c>
      <x:c r="X3" s="37" t="str">
        <x:v>low</x:v>
      </x:c>
      <x:c r="Y3" s="37" t="str">
        <x:v>46</x:v>
      </x:c>
      <x:c r="Z3" s="37" t="str">
        <x:v>low</x:v>
      </x:c>
      <x:c r="AA3" s="38" t="str">
        <x:v>alternative_profiles_present;baseline_incomplete</x:v>
      </x:c>
      <x:c r="AB3" s="37" t="str">
        <x:v>review_required</x:v>
      </x:c>
    </x:row>
    <x:row r="4">
      <x:c r="A4" s="37" t="str">
        <x:v>RC-0003</x:v>
      </x:c>
      <x:c r="B4" s="37" t="str">
        <x:v>combat_style</x:v>
      </x:c>
      <x:c r="C4" s="37" t="str">
        <x:v>observed_pattern</x:v>
      </x:c>
      <x:c r="D4" s="37" t="str">
        <x:v>repeated_implementation_profile</x:v>
      </x:c>
      <x:c r="E4" s="37" t="str">
        <x:v>Blade and Blunt</x:v>
      </x:c>
      <x:c r="F4" s="37" t="str">
        <x:v>BladeAndBlunt.esp</x:v>
      </x:c>
      <x:c r="G4" s="37" t="str">
        <x:v>main</x:v>
      </x:c>
      <x:c r="H4" s="38" t="str">
        <x:v>Within BladeAndBlunt.esp, the combat_style implementation repeatedly uses: Dueling | dominant Melee;Magic;Ranged;Shout;Unarmed;Staff; observed center: offense=1.0; defense=0.0; strafe=0.20000000298023224</x:v>
      </x:c>
      <x:c r="I4" s="37" t="str">
        <x:v>7</x:v>
      </x:c>
      <x:c r="J4" s="37" t="str">
        <x:v>observed_patterns:combat_style:Dueling | dominant Melee;Magic;Ranged;Shout;Unarmed;Staff</x:v>
      </x:c>
      <x:c r="K4" s="37" t="str">
        <x:v>descriptive_frequency</x:v>
      </x:c>
      <x:c r="L4" s="37" t="str">
        <x:v>mixed_or_external_missing</x:v>
      </x:c>
      <x:c r="M4" s="37" t="str">
        <x:v>alternative_profiles_present</x:v>
      </x:c>
      <x:c r="N4" s="37" t="str">
        <x:v>6</x:v>
      </x:c>
      <x:c r="O4" s="37" t="str"/>
      <x:c r="P4" s="37" t="str">
        <x:v>42</x:v>
      </x:c>
      <x:c r="Q4" s="37" t="str">
        <x:v>low</x:v>
      </x:c>
      <x:c r="R4" s="37" t="str">
        <x:v>review_required</x:v>
      </x:c>
      <x:c r="S4" s="37" t="str">
        <x:v>False</x:v>
      </x:c>
      <x:c r="T4" s="38" t="str">
        <x:v>Do not promote without scope review, exception review, and author-intent/baseline corroboration.</x:v>
      </x:c>
      <x:c r="U4" s="37" t="str">
        <x:v>62</x:v>
      </x:c>
      <x:c r="V4" s="37" t="str">
        <x:v>medium</x:v>
      </x:c>
      <x:c r="W4" s="37" t="str">
        <x:v>40</x:v>
      </x:c>
      <x:c r="X4" s="37" t="str">
        <x:v>low</x:v>
      </x:c>
      <x:c r="Y4" s="37" t="str">
        <x:v>42</x:v>
      </x:c>
      <x:c r="Z4" s="37" t="str">
        <x:v>low</x:v>
      </x:c>
      <x:c r="AA4" s="38" t="str">
        <x:v>alternative_profiles_present;baseline_incomplete</x:v>
      </x:c>
      <x:c r="AB4" s="37" t="str">
        <x:v>review_required</x:v>
      </x:c>
    </x:row>
    <x:row r="5">
      <x:c r="A5" s="37" t="str">
        <x:v>RC-0004</x:v>
      </x:c>
      <x:c r="B5" s="37" t="str">
        <x:v>combat_style</x:v>
      </x:c>
      <x:c r="C5" s="37" t="str">
        <x:v>observed_pattern</x:v>
      </x:c>
      <x:c r="D5" s="37" t="str">
        <x:v>repeated_implementation_profile</x:v>
      </x:c>
      <x:c r="E5" s="37" t="str">
        <x:v>Blade and Blunt</x:v>
      </x:c>
      <x:c r="F5" s="37" t="str">
        <x:v>BladeAndBlunt.esp</x:v>
      </x:c>
      <x:c r="G5" s="37" t="str">
        <x:v>main</x:v>
      </x:c>
      <x:c r="H5" s="38" t="str">
        <x:v>Within BladeAndBlunt.esp, the combat_style implementation repeatedly uses: Dueling | dominant Ranged; observed center: offense=0.9600000083446503; defense=0.24499999731779099; strafe=0.5000000074505806</x:v>
      </x:c>
      <x:c r="I5" s="37" t="str">
        <x:v>4</x:v>
      </x:c>
      <x:c r="J5" s="37" t="str">
        <x:v>observed_patterns:combat_style:Dueling | dominant Ranged</x:v>
      </x:c>
      <x:c r="K5" s="37" t="str">
        <x:v>descriptive_frequency</x:v>
      </x:c>
      <x:c r="L5" s="37" t="str">
        <x:v>mixed_or_external_missing</x:v>
      </x:c>
      <x:c r="M5" s="37" t="str">
        <x:v>alternative_profiles_present</x:v>
      </x:c>
      <x:c r="N5" s="37" t="str">
        <x:v>6</x:v>
      </x:c>
      <x:c r="O5" s="37" t="str"/>
      <x:c r="P5" s="37" t="str">
        <x:v>36</x:v>
      </x:c>
      <x:c r="Q5" s="37" t="str">
        <x:v>low</x:v>
      </x:c>
      <x:c r="R5" s="37" t="str">
        <x:v>review_required</x:v>
      </x:c>
      <x:c r="S5" s="37" t="str">
        <x:v>False</x:v>
      </x:c>
      <x:c r="T5" s="38" t="str">
        <x:v>Do not promote without scope review, exception review, and author-intent/baseline corroboration.</x:v>
      </x:c>
      <x:c r="U5" s="37" t="str">
        <x:v>55</x:v>
      </x:c>
      <x:c r="V5" s="37" t="str">
        <x:v>medium</x:v>
      </x:c>
      <x:c r="W5" s="37" t="str">
        <x:v>40</x:v>
      </x:c>
      <x:c r="X5" s="37" t="str">
        <x:v>low</x:v>
      </x:c>
      <x:c r="Y5" s="37" t="str">
        <x:v>38</x:v>
      </x:c>
      <x:c r="Z5" s="37" t="str">
        <x:v>low</x:v>
      </x:c>
      <x:c r="AA5" s="38" t="str">
        <x:v>alternative_profiles_present;baseline_incomplete</x:v>
      </x:c>
      <x:c r="AB5" s="37" t="str">
        <x:v>review_required</x:v>
      </x:c>
    </x:row>
    <x:row r="6">
      <x:c r="A6" s="37" t="str">
        <x:v>RC-0005</x:v>
      </x:c>
      <x:c r="B6" s="37" t="str">
        <x:v>combat_style</x:v>
      </x:c>
      <x:c r="C6" s="37" t="str">
        <x:v>observed_pattern</x:v>
      </x:c>
      <x:c r="D6" s="37" t="str">
        <x:v>repeated_implementation_profile</x:v>
      </x:c>
      <x:c r="E6" s="37" t="str">
        <x:v>Blade and Blunt</x:v>
      </x:c>
      <x:c r="F6" s="37" t="str">
        <x:v>BladeAndBlunt.esp</x:v>
      </x:c>
      <x:c r="G6" s="37" t="str">
        <x:v>main</x:v>
      </x:c>
      <x:c r="H6" s="38" t="str">
        <x:v>Within BladeAndBlunt.esp, the combat_style implementation repeatedly uses: Dueling | dominant Staff; observed center: offense=0.8500000238418579; defense=0.3400000035762787; strafe=0.20000000298023224</x:v>
      </x:c>
      <x:c r="I6" s="37" t="str">
        <x:v>3</x:v>
      </x:c>
      <x:c r="J6" s="37" t="str">
        <x:v>observed_patterns:combat_style:Dueling | dominant Staff</x:v>
      </x:c>
      <x:c r="K6" s="37" t="str">
        <x:v>descriptive_frequency</x:v>
      </x:c>
      <x:c r="L6" s="37" t="str">
        <x:v>mixed_or_external_missing</x:v>
      </x:c>
      <x:c r="M6" s="37" t="str">
        <x:v>alternative_profiles_present</x:v>
      </x:c>
      <x:c r="N6" s="37" t="str">
        <x:v>6</x:v>
      </x:c>
      <x:c r="O6" s="37" t="str"/>
      <x:c r="P6" s="37" t="str">
        <x:v>36</x:v>
      </x:c>
      <x:c r="Q6" s="37" t="str">
        <x:v>low</x:v>
      </x:c>
      <x:c r="R6" s="37" t="str">
        <x:v>review_required</x:v>
      </x:c>
      <x:c r="S6" s="37" t="str">
        <x:v>False</x:v>
      </x:c>
      <x:c r="T6" s="38" t="str">
        <x:v>Do not promote without scope review, exception review, and author-intent/baseline corroboration.</x:v>
      </x:c>
      <x:c r="U6" s="37" t="str">
        <x:v>55</x:v>
      </x:c>
      <x:c r="V6" s="37" t="str">
        <x:v>medium</x:v>
      </x:c>
      <x:c r="W6" s="37" t="str">
        <x:v>40</x:v>
      </x:c>
      <x:c r="X6" s="37" t="str">
        <x:v>low</x:v>
      </x:c>
      <x:c r="Y6" s="37" t="str">
        <x:v>38</x:v>
      </x:c>
      <x:c r="Z6" s="37" t="str">
        <x:v>low</x:v>
      </x:c>
      <x:c r="AA6" s="38" t="str">
        <x:v>alternative_profiles_present;baseline_incomplete</x:v>
      </x:c>
      <x:c r="AB6" s="37" t="str">
        <x:v>review_required</x:v>
      </x:c>
    </x:row>
    <x:row r="7">
      <x:c r="A7" s="37" t="str">
        <x:v>RC-0006</x:v>
      </x:c>
      <x:c r="B7" s="37" t="str">
        <x:v>combat_style</x:v>
      </x:c>
      <x:c r="C7" s="37" t="str">
        <x:v>observed_pattern</x:v>
      </x:c>
      <x:c r="D7" s="37" t="str">
        <x:v>repeated_implementation_profile</x:v>
      </x:c>
      <x:c r="E7" s="37" t="str">
        <x:v>Blade and Blunt</x:v>
      </x:c>
      <x:c r="F7" s="37" t="str">
        <x:v>BladeAndBlunt.esp</x:v>
      </x:c>
      <x:c r="G7" s="37" t="str">
        <x:v>main</x:v>
      </x:c>
      <x:c r="H7" s="38" t="str">
        <x:v>Within BladeAndBlunt.esp, the combat_style implementation repeatedly uses: Dueling;AllowDualWielding | dominant Melee; observed center: offense=1.0; defense=0.0; strafe=0.20000000298023224</x:v>
      </x:c>
      <x:c r="I7" s="37" t="str">
        <x:v>16</x:v>
      </x:c>
      <x:c r="J7" s="37" t="str">
        <x:v>observed_patterns:combat_style:Dueling;AllowDualWielding | dominant Melee</x:v>
      </x:c>
      <x:c r="K7" s="37" t="str">
        <x:v>descriptive_frequency</x:v>
      </x:c>
      <x:c r="L7" s="37" t="str">
        <x:v>mixed_or_external_missing</x:v>
      </x:c>
      <x:c r="M7" s="37" t="str">
        <x:v>alternative_profiles_present</x:v>
      </x:c>
      <x:c r="N7" s="37" t="str">
        <x:v>6</x:v>
      </x:c>
      <x:c r="O7" s="37" t="str"/>
      <x:c r="P7" s="37" t="str">
        <x:v>48</x:v>
      </x:c>
      <x:c r="Q7" s="37" t="str">
        <x:v>low</x:v>
      </x:c>
      <x:c r="R7" s="37" t="str">
        <x:v>review_required</x:v>
      </x:c>
      <x:c r="S7" s="37" t="str">
        <x:v>False</x:v>
      </x:c>
      <x:c r="T7" s="38" t="str">
        <x:v>Do not promote without scope review, exception review, and author-intent/baseline corroboration.</x:v>
      </x:c>
      <x:c r="U7" s="37" t="str">
        <x:v>70</x:v>
      </x:c>
      <x:c r="V7" s="37" t="str">
        <x:v>medium</x:v>
      </x:c>
      <x:c r="W7" s="37" t="str">
        <x:v>40</x:v>
      </x:c>
      <x:c r="X7" s="37" t="str">
        <x:v>low</x:v>
      </x:c>
      <x:c r="Y7" s="37" t="str">
        <x:v>46</x:v>
      </x:c>
      <x:c r="Z7" s="37" t="str">
        <x:v>low</x:v>
      </x:c>
      <x:c r="AA7" s="38" t="str">
        <x:v>alternative_profiles_present;baseline_incomplete</x:v>
      </x:c>
      <x:c r="AB7" s="37" t="str">
        <x:v>review_required</x:v>
      </x:c>
    </x:row>
    <x:row r="8">
      <x:c r="A8" s="37" t="str">
        <x:v>RC-0007</x:v>
      </x:c>
      <x:c r="B8" s="37" t="str">
        <x:v>combat_style</x:v>
      </x:c>
      <x:c r="C8" s="37" t="str">
        <x:v>observed_pattern</x:v>
      </x:c>
      <x:c r="D8" s="37" t="str">
        <x:v>repeated_implementation_profile</x:v>
      </x:c>
      <x:c r="E8" s="37" t="str">
        <x:v>Blade and Blunt</x:v>
      </x:c>
      <x:c r="F8" s="37" t="str">
        <x:v>BladeAndBlunt.esp</x:v>
      </x:c>
      <x:c r="G8" s="37" t="str">
        <x:v>main</x:v>
      </x:c>
      <x:c r="H8" s="38" t="str">
        <x:v>Within BladeAndBlunt.esp, the combat_style implementation repeatedly uses: Flanking | dominant Ranged; observed center: offense=0.8600000143051147; defense=0.26499999314546585; strafe=0.800000011920929</x:v>
      </x:c>
      <x:c r="I8" s="37" t="str">
        <x:v>4</x:v>
      </x:c>
      <x:c r="J8" s="37" t="str">
        <x:v>observed_patterns:combat_style:Flanking | dominant Ranged</x:v>
      </x:c>
      <x:c r="K8" s="37" t="str">
        <x:v>descriptive_frequency</x:v>
      </x:c>
      <x:c r="L8" s="37" t="str">
        <x:v>mixed_or_external_missing</x:v>
      </x:c>
      <x:c r="M8" s="37" t="str">
        <x:v>alternative_profiles_present</x:v>
      </x:c>
      <x:c r="N8" s="37" t="str">
        <x:v>6</x:v>
      </x:c>
      <x:c r="O8" s="37" t="str"/>
      <x:c r="P8" s="37" t="str">
        <x:v>36</x:v>
      </x:c>
      <x:c r="Q8" s="37" t="str">
        <x:v>low</x:v>
      </x:c>
      <x:c r="R8" s="37" t="str">
        <x:v>review_required</x:v>
      </x:c>
      <x:c r="S8" s="37" t="str">
        <x:v>False</x:v>
      </x:c>
      <x:c r="T8" s="38" t="str">
        <x:v>Do not promote without scope review, exception review, and author-intent/baseline corroboration.</x:v>
      </x:c>
      <x:c r="U8" s="37" t="str">
        <x:v>55</x:v>
      </x:c>
      <x:c r="V8" s="37" t="str">
        <x:v>medium</x:v>
      </x:c>
      <x:c r="W8" s="37" t="str">
        <x:v>40</x:v>
      </x:c>
      <x:c r="X8" s="37" t="str">
        <x:v>low</x:v>
      </x:c>
      <x:c r="Y8" s="37" t="str">
        <x:v>38</x:v>
      </x:c>
      <x:c r="Z8" s="37" t="str">
        <x:v>low</x:v>
      </x:c>
      <x:c r="AA8" s="38" t="str">
        <x:v>alternative_profiles_present;baseline_incomplete</x:v>
      </x:c>
      <x:c r="AB8" s="37" t="str">
        <x:v>review_required</x:v>
      </x:c>
    </x:row>
    <x:row r="9">
      <x:c r="A9" s="37" t="str">
        <x:v>RC-0008</x:v>
      </x:c>
      <x:c r="B9" s="37" t="str">
        <x:v>enchantment_numeric</x:v>
      </x:c>
      <x:c r="C9" s="37" t="str">
        <x:v>observed_pattern</x:v>
      </x:c>
      <x:c r="D9" s="37" t="str">
        <x:v>repeated_implementation_profile</x:v>
      </x:c>
      <x:c r="E9" s="37" t="str">
        <x:v>Adamant</x:v>
      </x:c>
      <x:c r="F9" s="37" t="str">
        <x:v>Adamant.esp</x:v>
      </x:c>
      <x:c r="G9" s="37" t="str">
        <x:v>main</x:v>
      </x:c>
      <x:c r="H9" s="38" t="str">
        <x:v>Within Adamant.esp, the enchantment_numeric implementation repeatedly uses: Enchantment | Fire and Forget | Touch | Conjuration;None; observed center: cost=0.0; amount=0.0; effects=9.0</x:v>
      </x:c>
      <x:c r="I9" s="37" t="str">
        <x:v>8</x:v>
      </x:c>
      <x:c r="J9" s="37" t="str">
        <x:v>observed_patterns:enchantment_numeric:Enchantment | Fire and Forget | Touch | Conjuration;None</x:v>
      </x:c>
      <x:c r="K9" s="37" t="str">
        <x:v>descriptive_frequency</x:v>
      </x:c>
      <x:c r="L9" s="37" t="str">
        <x:v>mixed_or_external_missing</x:v>
      </x:c>
      <x:c r="M9" s="37" t="str">
        <x:v>alternative_profiles_present</x:v>
      </x:c>
      <x:c r="N9" s="37" t="str">
        <x:v>8</x:v>
      </x:c>
      <x:c r="O9" s="37" t="str"/>
      <x:c r="P9" s="37" t="str">
        <x:v>42</x:v>
      </x:c>
      <x:c r="Q9" s="37" t="str">
        <x:v>low</x:v>
      </x:c>
      <x:c r="R9" s="37" t="str">
        <x:v>review_required</x:v>
      </x:c>
      <x:c r="S9" s="37" t="str">
        <x:v>False</x:v>
      </x:c>
      <x:c r="T9" s="38" t="str">
        <x:v>Do not promote without scope review, exception review, and author-intent/baseline corroboration.</x:v>
      </x:c>
      <x:c r="U9" s="37" t="str">
        <x:v>62</x:v>
      </x:c>
      <x:c r="V9" s="37" t="str">
        <x:v>medium</x:v>
      </x:c>
      <x:c r="W9" s="37" t="str">
        <x:v>48</x:v>
      </x:c>
      <x:c r="X9" s="37" t="str">
        <x:v>low</x:v>
      </x:c>
      <x:c r="Y9" s="37" t="str">
        <x:v>46</x:v>
      </x:c>
      <x:c r="Z9" s="37" t="str">
        <x:v>low</x:v>
      </x:c>
      <x:c r="AA9" s="38" t="str">
        <x:v>alternative_profiles_present;baseline_incomplete</x:v>
      </x:c>
      <x:c r="AB9" s="37" t="str">
        <x:v>review_required</x:v>
      </x:c>
    </x:row>
    <x:row r="10">
      <x:c r="A10" s="37" t="str">
        <x:v>RC-0009</x:v>
      </x:c>
      <x:c r="B10" s="37" t="str">
        <x:v>enchantment_numeric</x:v>
      </x:c>
      <x:c r="C10" s="37" t="str">
        <x:v>observed_pattern</x:v>
      </x:c>
      <x:c r="D10" s="37" t="str">
        <x:v>repeated_implementation_profile</x:v>
      </x:c>
      <x:c r="E10" s="37" t="str">
        <x:v>Adamant</x:v>
      </x:c>
      <x:c r="F10" s="37" t="str">
        <x:v>Adamant.esp</x:v>
      </x:c>
      <x:c r="G10" s="37" t="str">
        <x:v>main</x:v>
      </x:c>
      <x:c r="H10" s="38" t="str">
        <x:v>Within Adamant.esp, the enchantment_numeric implementation repeatedly uses: Enchantment | Fire and Forget | Touch | Destruction;None; observed center: cost=448.5; amount=448.5; effects=3.0</x:v>
      </x:c>
      <x:c r="I10" s="37" t="str">
        <x:v>4</x:v>
      </x:c>
      <x:c r="J10" s="37" t="str">
        <x:v>observed_patterns:enchantment_numeric:Enchantment | Fire and Forget | Touch | Destruction;None</x:v>
      </x:c>
      <x:c r="K10" s="37" t="str">
        <x:v>descriptive_frequency</x:v>
      </x:c>
      <x:c r="L10" s="37" t="str">
        <x:v>mixed_or_external_missing</x:v>
      </x:c>
      <x:c r="M10" s="37" t="str">
        <x:v>alternative_profiles_present</x:v>
      </x:c>
      <x:c r="N10" s="37" t="str">
        <x:v>8</x:v>
      </x:c>
      <x:c r="O10" s="37" t="str"/>
      <x:c r="P10" s="37" t="str">
        <x:v>36</x:v>
      </x:c>
      <x:c r="Q10" s="37" t="str">
        <x:v>low</x:v>
      </x:c>
      <x:c r="R10" s="37" t="str">
        <x:v>review_required</x:v>
      </x:c>
      <x:c r="S10" s="37" t="str">
        <x:v>False</x:v>
      </x:c>
      <x:c r="T10" s="38" t="str">
        <x:v>Do not promote without scope review, exception review, and author-intent/baseline corroboration.</x:v>
      </x:c>
      <x:c r="U10" s="37" t="str">
        <x:v>55</x:v>
      </x:c>
      <x:c r="V10" s="37" t="str">
        <x:v>medium</x:v>
      </x:c>
      <x:c r="W10" s="37" t="str">
        <x:v>48</x:v>
      </x:c>
      <x:c r="X10" s="37" t="str">
        <x:v>low</x:v>
      </x:c>
      <x:c r="Y10" s="37" t="str">
        <x:v>42</x:v>
      </x:c>
      <x:c r="Z10" s="37" t="str">
        <x:v>low</x:v>
      </x:c>
      <x:c r="AA10" s="38" t="str">
        <x:v>alternative_profiles_present;baseline_incomplete</x:v>
      </x:c>
      <x:c r="AB10" s="37" t="str">
        <x:v>review_required</x:v>
      </x:c>
    </x:row>
    <x:row r="11">
      <x:c r="A11" s="37" t="str">
        <x:v>RC-0010</x:v>
      </x:c>
      <x:c r="B11" s="37" t="str">
        <x:v>enchantment_numeric</x:v>
      </x:c>
      <x:c r="C11" s="37" t="str">
        <x:v>observed_pattern</x:v>
      </x:c>
      <x:c r="D11" s="37" t="str">
        <x:v>repeated_implementation_profile</x:v>
      </x:c>
      <x:c r="E11" s="37" t="str">
        <x:v>Adamant</x:v>
      </x:c>
      <x:c r="F11" s="37" t="str">
        <x:v>Adamant.esp</x:v>
      </x:c>
      <x:c r="G11" s="37" t="str">
        <x:v>main</x:v>
      </x:c>
      <x:c r="H11" s="38" t="str">
        <x:v>Within Adamant.esp, the enchantment_numeric implementation repeatedly uses: Enchantment | Fire and Forget | Touch | None; observed center: cost=688.0; amount=688.0; effects=2.0</x:v>
      </x:c>
      <x:c r="I11" s="37" t="str">
        <x:v>3</x:v>
      </x:c>
      <x:c r="J11" s="37" t="str">
        <x:v>observed_patterns:enchantment_numeric:Enchantment | Fire and Forget | Touch | None</x:v>
      </x:c>
      <x:c r="K11" s="37" t="str">
        <x:v>descriptive_frequency</x:v>
      </x:c>
      <x:c r="L11" s="37" t="str">
        <x:v>mixed_or_external_missing</x:v>
      </x:c>
      <x:c r="M11" s="37" t="str">
        <x:v>alternative_profiles_present</x:v>
      </x:c>
      <x:c r="N11" s="37" t="str">
        <x:v>8</x:v>
      </x:c>
      <x:c r="O11" s="37" t="str"/>
      <x:c r="P11" s="37" t="str">
        <x:v>36</x:v>
      </x:c>
      <x:c r="Q11" s="37" t="str">
        <x:v>low</x:v>
      </x:c>
      <x:c r="R11" s="37" t="str">
        <x:v>review_required</x:v>
      </x:c>
      <x:c r="S11" s="37" t="str">
        <x:v>False</x:v>
      </x:c>
      <x:c r="T11" s="38" t="str">
        <x:v>Do not promote without scope review, exception review, and author-intent/baseline corroboration.</x:v>
      </x:c>
      <x:c r="U11" s="37" t="str">
        <x:v>55</x:v>
      </x:c>
      <x:c r="V11" s="37" t="str">
        <x:v>medium</x:v>
      </x:c>
      <x:c r="W11" s="37" t="str">
        <x:v>48</x:v>
      </x:c>
      <x:c r="X11" s="37" t="str">
        <x:v>low</x:v>
      </x:c>
      <x:c r="Y11" s="37" t="str">
        <x:v>42</x:v>
      </x:c>
      <x:c r="Z11" s="37" t="str">
        <x:v>low</x:v>
      </x:c>
      <x:c r="AA11" s="38" t="str">
        <x:v>alternative_profiles_present;baseline_incomplete</x:v>
      </x:c>
      <x:c r="AB11" s="37" t="str">
        <x:v>review_required</x:v>
      </x:c>
    </x:row>
    <x:row r="12">
      <x:c r="A12" s="37" t="str">
        <x:v>RC-0011</x:v>
      </x:c>
      <x:c r="B12" s="37" t="str">
        <x:v>enchantment_numeric</x:v>
      </x:c>
      <x:c r="C12" s="37" t="str">
        <x:v>observed_pattern</x:v>
      </x:c>
      <x:c r="D12" s="37" t="str">
        <x:v>repeated_implementation_profile</x:v>
      </x:c>
      <x:c r="E12" s="37" t="str">
        <x:v>Adamant</x:v>
      </x:c>
      <x:c r="F12" s="37" t="str">
        <x:v>Adamant.esp</x:v>
      </x:c>
      <x:c r="G12" s="37" t="str">
        <x:v>main</x:v>
      </x:c>
      <x:c r="H12" s="38" t="str">
        <x:v>Within Adamant.esp, the enchantment_numeric implementation repeatedly uses: Enchantment | Fire and Forget | Touch | Restoration; observed center: cost=0.0; amount=0.0; effects=4.5</x:v>
      </x:c>
      <x:c r="I12" s="37" t="str">
        <x:v>8</x:v>
      </x:c>
      <x:c r="J12" s="37" t="str">
        <x:v>observed_patterns:enchantment_numeric:Enchantment | Fire and Forget | Touch | Restoration</x:v>
      </x:c>
      <x:c r="K12" s="37" t="str">
        <x:v>descriptive_frequency</x:v>
      </x:c>
      <x:c r="L12" s="37" t="str">
        <x:v>mixed_or_external_missing</x:v>
      </x:c>
      <x:c r="M12" s="37" t="str">
        <x:v>alternative_profiles_present</x:v>
      </x:c>
      <x:c r="N12" s="37" t="str">
        <x:v>8</x:v>
      </x:c>
      <x:c r="O12" s="37" t="str"/>
      <x:c r="P12" s="37" t="str">
        <x:v>42</x:v>
      </x:c>
      <x:c r="Q12" s="37" t="str">
        <x:v>low</x:v>
      </x:c>
      <x:c r="R12" s="37" t="str">
        <x:v>review_required</x:v>
      </x:c>
      <x:c r="S12" s="37" t="str">
        <x:v>False</x:v>
      </x:c>
      <x:c r="T12" s="38" t="str">
        <x:v>Do not promote without scope review, exception review, and author-intent/baseline corroboration.</x:v>
      </x:c>
      <x:c r="U12" s="37" t="str">
        <x:v>62</x:v>
      </x:c>
      <x:c r="V12" s="37" t="str">
        <x:v>medium</x:v>
      </x:c>
      <x:c r="W12" s="37" t="str">
        <x:v>48</x:v>
      </x:c>
      <x:c r="X12" s="37" t="str">
        <x:v>low</x:v>
      </x:c>
      <x:c r="Y12" s="37" t="str">
        <x:v>46</x:v>
      </x:c>
      <x:c r="Z12" s="37" t="str">
        <x:v>low</x:v>
      </x:c>
      <x:c r="AA12" s="38" t="str">
        <x:v>alternative_profiles_present;baseline_incomplete</x:v>
      </x:c>
      <x:c r="AB12" s="37" t="str">
        <x:v>review_required</x:v>
      </x:c>
    </x:row>
    <x:row r="13">
      <x:c r="A13" s="37" t="str">
        <x:v>RC-0012</x:v>
      </x:c>
      <x:c r="B13" s="37" t="str">
        <x:v>enchantment_numeric</x:v>
      </x:c>
      <x:c r="C13" s="37" t="str">
        <x:v>observed_pattern</x:v>
      </x:c>
      <x:c r="D13" s="37" t="str">
        <x:v>repeated_implementation_profile</x:v>
      </x:c>
      <x:c r="E13" s="37" t="str">
        <x:v>Adamant</x:v>
      </x:c>
      <x:c r="F13" s="37" t="str">
        <x:v>Adamant.esp</x:v>
      </x:c>
      <x:c r="G13" s="37" t="str">
        <x:v>main</x:v>
      </x:c>
      <x:c r="H13" s="38" t="str">
        <x:v>Within Adamant.esp, the enchantment_numeric implementation repeatedly uses: Staff Enchantment | Concentration | Aimed | Destruction;None; observed center: cost=60.0; amount=60.0; effects=4.0</x:v>
      </x:c>
      <x:c r="I13" s="37" t="str">
        <x:v>9</x:v>
      </x:c>
      <x:c r="J13" s="37" t="str">
        <x:v>observed_patterns:enchantment_numeric:Staff Enchantment | Concentration | Aimed | Destruction;None</x:v>
      </x:c>
      <x:c r="K13" s="37" t="str">
        <x:v>descriptive_frequency</x:v>
      </x:c>
      <x:c r="L13" s="37" t="str">
        <x:v>mixed_or_external_missing</x:v>
      </x:c>
      <x:c r="M13" s="37" t="str">
        <x:v>alternative_profiles_present</x:v>
      </x:c>
      <x:c r="N13" s="37" t="str">
        <x:v>8</x:v>
      </x:c>
      <x:c r="O13" s="37" t="str"/>
      <x:c r="P13" s="37" t="str">
        <x:v>42</x:v>
      </x:c>
      <x:c r="Q13" s="37" t="str">
        <x:v>low</x:v>
      </x:c>
      <x:c r="R13" s="37" t="str">
        <x:v>review_required</x:v>
      </x:c>
      <x:c r="S13" s="37" t="str">
        <x:v>False</x:v>
      </x:c>
      <x:c r="T13" s="38" t="str">
        <x:v>Do not promote without scope review, exception review, and author-intent/baseline corroboration.</x:v>
      </x:c>
      <x:c r="U13" s="37" t="str">
        <x:v>62</x:v>
      </x:c>
      <x:c r="V13" s="37" t="str">
        <x:v>medium</x:v>
      </x:c>
      <x:c r="W13" s="37" t="str">
        <x:v>48</x:v>
      </x:c>
      <x:c r="X13" s="37" t="str">
        <x:v>low</x:v>
      </x:c>
      <x:c r="Y13" s="37" t="str">
        <x:v>46</x:v>
      </x:c>
      <x:c r="Z13" s="37" t="str">
        <x:v>low</x:v>
      </x:c>
      <x:c r="AA13" s="38" t="str">
        <x:v>alternative_profiles_present;baseline_incomplete</x:v>
      </x:c>
      <x:c r="AB13" s="37" t="str">
        <x:v>review_required</x:v>
      </x:c>
    </x:row>
    <x:row r="14">
      <x:c r="A14" s="37" t="str">
        <x:v>RC-0013</x:v>
      </x:c>
      <x:c r="B14" s="37" t="str">
        <x:v>enchantment_numeric</x:v>
      </x:c>
      <x:c r="C14" s="37" t="str">
        <x:v>observed_pattern</x:v>
      </x:c>
      <x:c r="D14" s="37" t="str">
        <x:v>repeated_implementation_profile</x:v>
      </x:c>
      <x:c r="E14" s="37" t="str">
        <x:v>Adamant</x:v>
      </x:c>
      <x:c r="F14" s="37" t="str">
        <x:v>Adamant.esp</x:v>
      </x:c>
      <x:c r="G14" s="37" t="str">
        <x:v>main</x:v>
      </x:c>
      <x:c r="H14" s="38" t="str">
        <x:v>Within Adamant.esp, the enchantment_numeric implementation repeatedly uses: Staff Enchantment | Concentration | Aimed | None;Restoration; observed center: cost=60.0; amount=60.0; effects=6.0</x:v>
      </x:c>
      <x:c r="I14" s="37" t="str">
        <x:v>6</x:v>
      </x:c>
      <x:c r="J14" s="37" t="str">
        <x:v>observed_patterns:enchantment_numeric:Staff Enchantment | Concentration | Aimed | None;Restoration</x:v>
      </x:c>
      <x:c r="K14" s="37" t="str">
        <x:v>descriptive_frequency</x:v>
      </x:c>
      <x:c r="L14" s="37" t="str">
        <x:v>mixed_or_external_missing</x:v>
      </x:c>
      <x:c r="M14" s="37" t="str">
        <x:v>alternative_profiles_present</x:v>
      </x:c>
      <x:c r="N14" s="37" t="str">
        <x:v>8</x:v>
      </x:c>
      <x:c r="O14" s="37" t="str"/>
      <x:c r="P14" s="37" t="str">
        <x:v>42</x:v>
      </x:c>
      <x:c r="Q14" s="37" t="str">
        <x:v>low</x:v>
      </x:c>
      <x:c r="R14" s="37" t="str">
        <x:v>review_required</x:v>
      </x:c>
      <x:c r="S14" s="37" t="str">
        <x:v>False</x:v>
      </x:c>
      <x:c r="T14" s="38" t="str">
        <x:v>Do not promote without scope review, exception review, and author-intent/baseline corroboration.</x:v>
      </x:c>
      <x:c r="U14" s="37" t="str">
        <x:v>62</x:v>
      </x:c>
      <x:c r="V14" s="37" t="str">
        <x:v>medium</x:v>
      </x:c>
      <x:c r="W14" s="37" t="str">
        <x:v>48</x:v>
      </x:c>
      <x:c r="X14" s="37" t="str">
        <x:v>low</x:v>
      </x:c>
      <x:c r="Y14" s="37" t="str">
        <x:v>46</x:v>
      </x:c>
      <x:c r="Z14" s="37" t="str">
        <x:v>low</x:v>
      </x:c>
      <x:c r="AA14" s="38" t="str">
        <x:v>alternative_profiles_present;baseline_incomplete</x:v>
      </x:c>
      <x:c r="AB14" s="37" t="str">
        <x:v>review_required</x:v>
      </x:c>
    </x:row>
    <x:row r="15">
      <x:c r="A15" s="37" t="str">
        <x:v>RC-0014</x:v>
      </x:c>
      <x:c r="B15" s="37" t="str">
        <x:v>enchantment_numeric</x:v>
      </x:c>
      <x:c r="C15" s="37" t="str">
        <x:v>observed_pattern</x:v>
      </x:c>
      <x:c r="D15" s="37" t="str">
        <x:v>repeated_implementation_profile</x:v>
      </x:c>
      <x:c r="E15" s="37" t="str">
        <x:v>Adamant</x:v>
      </x:c>
      <x:c r="F15" s="37" t="str">
        <x:v>Adamant.esp</x:v>
      </x:c>
      <x:c r="G15" s="37" t="str">
        <x:v>main</x:v>
      </x:c>
      <x:c r="H15" s="38" t="str">
        <x:v>Within Adamant.esp, the enchantment_numeric implementation repeatedly uses: Staff Enchantment | Fire and Forget | Aimed | Conjuration;None; observed center: cost=60.0; amount=60.0; effects=4.0</x:v>
      </x:c>
      <x:c r="I15" s="37" t="str">
        <x:v>5</x:v>
      </x:c>
      <x:c r="J15" s="37" t="str">
        <x:v>observed_patterns:enchantment_numeric:Staff Enchantment | Fire and Forget | Aimed | Conjuration;None</x:v>
      </x:c>
      <x:c r="K15" s="37" t="str">
        <x:v>descriptive_frequency</x:v>
      </x:c>
      <x:c r="L15" s="37" t="str">
        <x:v>mixed_or_external_missing</x:v>
      </x:c>
      <x:c r="M15" s="37" t="str">
        <x:v>alternative_profiles_present</x:v>
      </x:c>
      <x:c r="N15" s="37" t="str">
        <x:v>8</x:v>
      </x:c>
      <x:c r="O15" s="37" t="str"/>
      <x:c r="P15" s="37" t="str">
        <x:v>42</x:v>
      </x:c>
      <x:c r="Q15" s="37" t="str">
        <x:v>low</x:v>
      </x:c>
      <x:c r="R15" s="37" t="str">
        <x:v>review_required</x:v>
      </x:c>
      <x:c r="S15" s="37" t="str">
        <x:v>False</x:v>
      </x:c>
      <x:c r="T15" s="38" t="str">
        <x:v>Do not promote without scope review, exception review, and author-intent/baseline corroboration.</x:v>
      </x:c>
      <x:c r="U15" s="37" t="str">
        <x:v>62</x:v>
      </x:c>
      <x:c r="V15" s="37" t="str">
        <x:v>medium</x:v>
      </x:c>
      <x:c r="W15" s="37" t="str">
        <x:v>48</x:v>
      </x:c>
      <x:c r="X15" s="37" t="str">
        <x:v>low</x:v>
      </x:c>
      <x:c r="Y15" s="37" t="str">
        <x:v>46</x:v>
      </x:c>
      <x:c r="Z15" s="37" t="str">
        <x:v>low</x:v>
      </x:c>
      <x:c r="AA15" s="38" t="str">
        <x:v>alternative_profiles_present;baseline_incomplete</x:v>
      </x:c>
      <x:c r="AB15" s="37" t="str">
        <x:v>review_required</x:v>
      </x:c>
    </x:row>
    <x:row r="16">
      <x:c r="A16" s="37" t="str">
        <x:v>RC-0015</x:v>
      </x:c>
      <x:c r="B16" s="37" t="str">
        <x:v>enchantment_numeric</x:v>
      </x:c>
      <x:c r="C16" s="37" t="str">
        <x:v>observed_pattern</x:v>
      </x:c>
      <x:c r="D16" s="37" t="str">
        <x:v>repeated_implementation_profile</x:v>
      </x:c>
      <x:c r="E16" s="37" t="str">
        <x:v>Adamant</x:v>
      </x:c>
      <x:c r="F16" s="37" t="str">
        <x:v>Adamant.esp</x:v>
      </x:c>
      <x:c r="G16" s="37" t="str">
        <x:v>main</x:v>
      </x:c>
      <x:c r="H16" s="38" t="str">
        <x:v>Within Adamant.esp, the enchantment_numeric implementation repeatedly uses: Staff Enchantment | Fire and Forget | Aimed | None;Restoration; observed center: cost=60.0; amount=60.0; effects=4.0</x:v>
      </x:c>
      <x:c r="I16" s="37" t="str">
        <x:v>12</x:v>
      </x:c>
      <x:c r="J16" s="37" t="str">
        <x:v>observed_patterns:enchantment_numeric:Staff Enchantment | Fire and Forget | Aimed | None;Restoration</x:v>
      </x:c>
      <x:c r="K16" s="37" t="str">
        <x:v>descriptive_frequency</x:v>
      </x:c>
      <x:c r="L16" s="37" t="str">
        <x:v>mixed_or_external_missing</x:v>
      </x:c>
      <x:c r="M16" s="37" t="str">
        <x:v>alternative_profiles_present</x:v>
      </x:c>
      <x:c r="N16" s="37" t="str">
        <x:v>8</x:v>
      </x:c>
      <x:c r="O16" s="37" t="str"/>
      <x:c r="P16" s="37" t="str">
        <x:v>48</x:v>
      </x:c>
      <x:c r="Q16" s="37" t="str">
        <x:v>low</x:v>
      </x:c>
      <x:c r="R16" s="37" t="str">
        <x:v>review_required</x:v>
      </x:c>
      <x:c r="S16" s="37" t="str">
        <x:v>False</x:v>
      </x:c>
      <x:c r="T16" s="38" t="str">
        <x:v>Do not promote without scope review, exception review, and author-intent/baseline corroboration.</x:v>
      </x:c>
      <x:c r="U16" s="37" t="str">
        <x:v>70</x:v>
      </x:c>
      <x:c r="V16" s="37" t="str">
        <x:v>medium</x:v>
      </x:c>
      <x:c r="W16" s="37" t="str">
        <x:v>48</x:v>
      </x:c>
      <x:c r="X16" s="37" t="str">
        <x:v>low</x:v>
      </x:c>
      <x:c r="Y16" s="37" t="str">
        <x:v>50</x:v>
      </x:c>
      <x:c r="Z16" s="37" t="str">
        <x:v>medium</x:v>
      </x:c>
      <x:c r="AA16" s="38" t="str">
        <x:v>alternative_profiles_present;baseline_incomplete</x:v>
      </x:c>
      <x:c r="AB16" s="37" t="str">
        <x:v>review_required</x:v>
      </x:c>
    </x:row>
    <x:row r="17">
      <x:c r="A17" s="37" t="str">
        <x:v>RC-0016</x:v>
      </x:c>
      <x:c r="B17" s="37" t="str">
        <x:v>enchantment_numeric</x:v>
      </x:c>
      <x:c r="C17" s="37" t="str">
        <x:v>observed_pattern</x:v>
      </x:c>
      <x:c r="D17" s="37" t="str">
        <x:v>repeated_implementation_profile</x:v>
      </x:c>
      <x:c r="E17" s="37" t="str">
        <x:v>Adamant</x:v>
      </x:c>
      <x:c r="F17" s="37" t="str">
        <x:v>Adamant.esp</x:v>
      </x:c>
      <x:c r="G17" s="37" t="str">
        <x:v>main</x:v>
      </x:c>
      <x:c r="H17" s="38" t="str">
        <x:v>Within Adamant.esp, the enchantment_numeric implementation repeatedly uses: Staff Enchantment | Fire and Forget | Target Location | Conjuration;None; observed center: cost=185.0; amount=185.0; effects=2.0</x:v>
      </x:c>
      <x:c r="I17" s="37" t="str">
        <x:v>6</x:v>
      </x:c>
      <x:c r="J17" s="37" t="str">
        <x:v>observed_patterns:enchantment_numeric:Staff Enchantment | Fire and Forget | Target Location | Conjuration;None</x:v>
      </x:c>
      <x:c r="K17" s="37" t="str">
        <x:v>descriptive_frequency</x:v>
      </x:c>
      <x:c r="L17" s="37" t="str">
        <x:v>mixed_or_external_missing</x:v>
      </x:c>
      <x:c r="M17" s="37" t="str">
        <x:v>alternative_profiles_present</x:v>
      </x:c>
      <x:c r="N17" s="37" t="str">
        <x:v>8</x:v>
      </x:c>
      <x:c r="O17" s="37" t="str"/>
      <x:c r="P17" s="37" t="str">
        <x:v>42</x:v>
      </x:c>
      <x:c r="Q17" s="37" t="str">
        <x:v>low</x:v>
      </x:c>
      <x:c r="R17" s="37" t="str">
        <x:v>review_required</x:v>
      </x:c>
      <x:c r="S17" s="37" t="str">
        <x:v>False</x:v>
      </x:c>
      <x:c r="T17" s="38" t="str">
        <x:v>Do not promote without scope review, exception review, and author-intent/baseline corroboration.</x:v>
      </x:c>
      <x:c r="U17" s="37" t="str">
        <x:v>62</x:v>
      </x:c>
      <x:c r="V17" s="37" t="str">
        <x:v>medium</x:v>
      </x:c>
      <x:c r="W17" s="37" t="str">
        <x:v>48</x:v>
      </x:c>
      <x:c r="X17" s="37" t="str">
        <x:v>low</x:v>
      </x:c>
      <x:c r="Y17" s="37" t="str">
        <x:v>46</x:v>
      </x:c>
      <x:c r="Z17" s="37" t="str">
        <x:v>low</x:v>
      </x:c>
      <x:c r="AA17" s="38" t="str">
        <x:v>alternative_profiles_present;baseline_incomplete</x:v>
      </x:c>
      <x:c r="AB17" s="37" t="str">
        <x:v>review_required</x:v>
      </x:c>
    </x:row>
    <x:row r="18">
      <x:c r="A18" s="37" t="str">
        <x:v>RC-0017</x:v>
      </x:c>
      <x:c r="B18" s="37" t="str">
        <x:v>enchantment_numeric</x:v>
      </x:c>
      <x:c r="C18" s="37" t="str">
        <x:v>observed_pattern</x:v>
      </x:c>
      <x:c r="D18" s="37" t="str">
        <x:v>repeated_implementation_profile</x:v>
      </x:c>
      <x:c r="E18" s="37" t="str">
        <x:v>Mysticism</x:v>
      </x:c>
      <x:c r="F18" s="37" t="str">
        <x:v>MysticismMagic.esp</x:v>
      </x:c>
      <x:c r="G18" s="37" t="str">
        <x:v>main</x:v>
      </x:c>
      <x:c r="H18" s="38" t="str">
        <x:v>Within MysticismMagic.esp, the enchantment_numeric implementation repeatedly uses: Enchantment | Fire and Forget | Touch | Alteration; observed center: cost=0.0; amount=0.0; effects=1.0</x:v>
      </x:c>
      <x:c r="I18" s="37" t="str">
        <x:v>5</x:v>
      </x:c>
      <x:c r="J18" s="37" t="str">
        <x:v>observed_patterns:enchantment_numeric:Enchantment | Fire and Forget | Touch | Alteration</x:v>
      </x:c>
      <x:c r="K18" s="37" t="str">
        <x:v>descriptive_frequency</x:v>
      </x:c>
      <x:c r="L18" s="37" t="str">
        <x:v>mixed_or_external_missing</x:v>
      </x:c>
      <x:c r="M18" s="37" t="str">
        <x:v>alternative_profiles_present</x:v>
      </x:c>
      <x:c r="N18" s="37" t="str">
        <x:v>17</x:v>
      </x:c>
      <x:c r="O18" s="37" t="str"/>
      <x:c r="P18" s="37" t="str">
        <x:v>42</x:v>
      </x:c>
      <x:c r="Q18" s="37" t="str">
        <x:v>low</x:v>
      </x:c>
      <x:c r="R18" s="37" t="str">
        <x:v>review_required</x:v>
      </x:c>
      <x:c r="S18" s="37" t="str">
        <x:v>False</x:v>
      </x:c>
      <x:c r="T18" s="38" t="str">
        <x:v>Do not promote without scope review, exception review, and author-intent/baseline corroboration.</x:v>
      </x:c>
      <x:c r="U18" s="37" t="str">
        <x:v>62</x:v>
      </x:c>
      <x:c r="V18" s="37" t="str">
        <x:v>medium</x:v>
      </x:c>
      <x:c r="W18" s="37" t="str">
        <x:v>43</x:v>
      </x:c>
      <x:c r="X18" s="37" t="str">
        <x:v>low</x:v>
      </x:c>
      <x:c r="Y18" s="37" t="str">
        <x:v>43</x:v>
      </x:c>
      <x:c r="Z18" s="37" t="str">
        <x:v>low</x:v>
      </x:c>
      <x:c r="AA18" s="38" t="str">
        <x:v>alternative_profiles_present;baseline_incomplete</x:v>
      </x:c>
      <x:c r="AB18" s="37" t="str">
        <x:v>review_required</x:v>
      </x:c>
    </x:row>
    <x:row r="19">
      <x:c r="A19" s="37" t="str">
        <x:v>RC-0018</x:v>
      </x:c>
      <x:c r="B19" s="37" t="str">
        <x:v>enchantment_numeric</x:v>
      </x:c>
      <x:c r="C19" s="37" t="str">
        <x:v>observed_pattern</x:v>
      </x:c>
      <x:c r="D19" s="37" t="str">
        <x:v>repeated_implementation_profile</x:v>
      </x:c>
      <x:c r="E19" s="37" t="str">
        <x:v>Mysticism</x:v>
      </x:c>
      <x:c r="F19" s="37" t="str">
        <x:v>MysticismMagic.esp</x:v>
      </x:c>
      <x:c r="G19" s="37" t="str">
        <x:v>main</x:v>
      </x:c>
      <x:c r="H19" s="38" t="str">
        <x:v>Within MysticismMagic.esp, the enchantment_numeric implementation repeatedly uses: Enchantment | Fire and Forget | Touch | Conjuration;None; observed center: cost=0.0; amount=0.0; effects=4.0</x:v>
      </x:c>
      <x:c r="I19" s="37" t="str">
        <x:v>7</x:v>
      </x:c>
      <x:c r="J19" s="37" t="str">
        <x:v>observed_patterns:enchantment_numeric:Enchantment | Fire and Forget | Touch | Conjuration;None</x:v>
      </x:c>
      <x:c r="K19" s="37" t="str">
        <x:v>descriptive_frequency</x:v>
      </x:c>
      <x:c r="L19" s="37" t="str">
        <x:v>mixed_or_external_missing</x:v>
      </x:c>
      <x:c r="M19" s="37" t="str">
        <x:v>alternative_profiles_present</x:v>
      </x:c>
      <x:c r="N19" s="37" t="str">
        <x:v>17</x:v>
      </x:c>
      <x:c r="O19" s="37" t="str"/>
      <x:c r="P19" s="37" t="str">
        <x:v>42</x:v>
      </x:c>
      <x:c r="Q19" s="37" t="str">
        <x:v>low</x:v>
      </x:c>
      <x:c r="R19" s="37" t="str">
        <x:v>review_required</x:v>
      </x:c>
      <x:c r="S19" s="37" t="str">
        <x:v>False</x:v>
      </x:c>
      <x:c r="T19" s="38" t="str">
        <x:v>Do not promote without scope review, exception review, and author-intent/baseline corroboration.</x:v>
      </x:c>
      <x:c r="U19" s="37" t="str">
        <x:v>62</x:v>
      </x:c>
      <x:c r="V19" s="37" t="str">
        <x:v>medium</x:v>
      </x:c>
      <x:c r="W19" s="37" t="str">
        <x:v>43</x:v>
      </x:c>
      <x:c r="X19" s="37" t="str">
        <x:v>low</x:v>
      </x:c>
      <x:c r="Y19" s="37" t="str">
        <x:v>43</x:v>
      </x:c>
      <x:c r="Z19" s="37" t="str">
        <x:v>low</x:v>
      </x:c>
      <x:c r="AA19" s="38" t="str">
        <x:v>alternative_profiles_present;baseline_incomplete</x:v>
      </x:c>
      <x:c r="AB19" s="37" t="str">
        <x:v>review_required</x:v>
      </x:c>
    </x:row>
    <x:row r="20">
      <x:c r="A20" s="37" t="str">
        <x:v>RC-0019</x:v>
      </x:c>
      <x:c r="B20" s="37" t="str">
        <x:v>enchantment_numeric</x:v>
      </x:c>
      <x:c r="C20" s="37" t="str">
        <x:v>observed_pattern</x:v>
      </x:c>
      <x:c r="D20" s="37" t="str">
        <x:v>repeated_implementation_profile</x:v>
      </x:c>
      <x:c r="E20" s="37" t="str">
        <x:v>Mysticism</x:v>
      </x:c>
      <x:c r="F20" s="37" t="str">
        <x:v>MysticismMagic.esp</x:v>
      </x:c>
      <x:c r="G20" s="37" t="str">
        <x:v>main</x:v>
      </x:c>
      <x:c r="H20" s="38" t="str">
        <x:v>Within MysticismMagic.esp, the enchantment_numeric implementation repeatedly uses: Enchantment | Fire and Forget | Touch | Destruction; observed center: cost=775.0; amount=775.0; effects=2.0</x:v>
      </x:c>
      <x:c r="I20" s="37" t="str">
        <x:v>6</x:v>
      </x:c>
      <x:c r="J20" s="37" t="str">
        <x:v>observed_patterns:enchantment_numeric:Enchantment | Fire and Forget | Touch | Destruction</x:v>
      </x:c>
      <x:c r="K20" s="37" t="str">
        <x:v>descriptive_frequency</x:v>
      </x:c>
      <x:c r="L20" s="37" t="str">
        <x:v>mixed_or_external_missing</x:v>
      </x:c>
      <x:c r="M20" s="37" t="str">
        <x:v>alternative_profiles_present</x:v>
      </x:c>
      <x:c r="N20" s="37" t="str">
        <x:v>17</x:v>
      </x:c>
      <x:c r="O20" s="37" t="str"/>
      <x:c r="P20" s="37" t="str">
        <x:v>42</x:v>
      </x:c>
      <x:c r="Q20" s="37" t="str">
        <x:v>low</x:v>
      </x:c>
      <x:c r="R20" s="37" t="str">
        <x:v>review_required</x:v>
      </x:c>
      <x:c r="S20" s="37" t="str">
        <x:v>False</x:v>
      </x:c>
      <x:c r="T20" s="38" t="str">
        <x:v>Do not promote without scope review, exception review, and author-intent/baseline corroboration.</x:v>
      </x:c>
      <x:c r="U20" s="37" t="str">
        <x:v>62</x:v>
      </x:c>
      <x:c r="V20" s="37" t="str">
        <x:v>medium</x:v>
      </x:c>
      <x:c r="W20" s="37" t="str">
        <x:v>43</x:v>
      </x:c>
      <x:c r="X20" s="37" t="str">
        <x:v>low</x:v>
      </x:c>
      <x:c r="Y20" s="37" t="str">
        <x:v>43</x:v>
      </x:c>
      <x:c r="Z20" s="37" t="str">
        <x:v>low</x:v>
      </x:c>
      <x:c r="AA20" s="38" t="str">
        <x:v>alternative_profiles_present;baseline_incomplete</x:v>
      </x:c>
      <x:c r="AB20" s="37" t="str">
        <x:v>review_required</x:v>
      </x:c>
    </x:row>
    <x:row r="21">
      <x:c r="A21" s="37" t="str">
        <x:v>RC-0020</x:v>
      </x:c>
      <x:c r="B21" s="37" t="str">
        <x:v>enchantment_numeric</x:v>
      </x:c>
      <x:c r="C21" s="37" t="str">
        <x:v>observed_pattern</x:v>
      </x:c>
      <x:c r="D21" s="37" t="str">
        <x:v>repeated_implementation_profile</x:v>
      </x:c>
      <x:c r="E21" s="37" t="str">
        <x:v>Mysticism</x:v>
      </x:c>
      <x:c r="F21" s="37" t="str">
        <x:v>MysticismMagic.esp</x:v>
      </x:c>
      <x:c r="G21" s="37" t="str">
        <x:v>main</x:v>
      </x:c>
      <x:c r="H21" s="38" t="str">
        <x:v>Within MysticismMagic.esp, the enchantment_numeric implementation repeatedly uses: Enchantment | Fire and Forget | Touch | Destruction;None; observed center: cost=489.0; amount=489.0; effects=2.0</x:v>
      </x:c>
      <x:c r="I21" s="37" t="str">
        <x:v>4</x:v>
      </x:c>
      <x:c r="J21" s="37" t="str">
        <x:v>observed_patterns:enchantment_numeric:Enchantment | Fire and Forget | Touch | Destruction;None</x:v>
      </x:c>
      <x:c r="K21" s="37" t="str">
        <x:v>descriptive_frequency</x:v>
      </x:c>
      <x:c r="L21" s="37" t="str">
        <x:v>mixed_or_external_missing</x:v>
      </x:c>
      <x:c r="M21" s="37" t="str">
        <x:v>alternative_profiles_present</x:v>
      </x:c>
      <x:c r="N21" s="37" t="str">
        <x:v>17</x:v>
      </x:c>
      <x:c r="O21" s="37" t="str"/>
      <x:c r="P21" s="37" t="str">
        <x:v>36</x:v>
      </x:c>
      <x:c r="Q21" s="37" t="str">
        <x:v>low</x:v>
      </x:c>
      <x:c r="R21" s="37" t="str">
        <x:v>review_required</x:v>
      </x:c>
      <x:c r="S21" s="37" t="str">
        <x:v>False</x:v>
      </x:c>
      <x:c r="T21" s="38" t="str">
        <x:v>Do not promote without scope review, exception review, and author-intent/baseline corroboration.</x:v>
      </x:c>
      <x:c r="U21" s="37" t="str">
        <x:v>55</x:v>
      </x:c>
      <x:c r="V21" s="37" t="str">
        <x:v>medium</x:v>
      </x:c>
      <x:c r="W21" s="37" t="str">
        <x:v>43</x:v>
      </x:c>
      <x:c r="X21" s="37" t="str">
        <x:v>low</x:v>
      </x:c>
      <x:c r="Y21" s="37" t="str">
        <x:v>40</x:v>
      </x:c>
      <x:c r="Z21" s="37" t="str">
        <x:v>low</x:v>
      </x:c>
      <x:c r="AA21" s="38" t="str">
        <x:v>alternative_profiles_present;baseline_incomplete</x:v>
      </x:c>
      <x:c r="AB21" s="37" t="str">
        <x:v>review_required</x:v>
      </x:c>
    </x:row>
    <x:row r="22">
      <x:c r="A22" s="37" t="str">
        <x:v>RC-0021</x:v>
      </x:c>
      <x:c r="B22" s="37" t="str">
        <x:v>enchantment_numeric</x:v>
      </x:c>
      <x:c r="C22" s="37" t="str">
        <x:v>observed_pattern</x:v>
      </x:c>
      <x:c r="D22" s="37" t="str">
        <x:v>repeated_implementation_profile</x:v>
      </x:c>
      <x:c r="E22" s="37" t="str">
        <x:v>Mysticism</x:v>
      </x:c>
      <x:c r="F22" s="37" t="str">
        <x:v>MysticismMagic.esp</x:v>
      </x:c>
      <x:c r="G22" s="37" t="str">
        <x:v>main</x:v>
      </x:c>
      <x:c r="H22" s="38" t="str">
        <x:v>Within MysticismMagic.esp, the enchantment_numeric implementation repeatedly uses: Enchantment | Fire and Forget | Touch | Illusion; observed center: cost=0.0; amount=0.0; effects=2.0</x:v>
      </x:c>
      <x:c r="I22" s="37" t="str">
        <x:v>14</x:v>
      </x:c>
      <x:c r="J22" s="37" t="str">
        <x:v>observed_patterns:enchantment_numeric:Enchantment | Fire and Forget | Touch | Illusion</x:v>
      </x:c>
      <x:c r="K22" s="37" t="str">
        <x:v>descriptive_frequency</x:v>
      </x:c>
      <x:c r="L22" s="37" t="str">
        <x:v>mixed_or_external_missing</x:v>
      </x:c>
      <x:c r="M22" s="37" t="str">
        <x:v>alternative_profiles_present</x:v>
      </x:c>
      <x:c r="N22" s="37" t="str">
        <x:v>17</x:v>
      </x:c>
      <x:c r="O22" s="37" t="str"/>
      <x:c r="P22" s="37" t="str">
        <x:v>48</x:v>
      </x:c>
      <x:c r="Q22" s="37" t="str">
        <x:v>low</x:v>
      </x:c>
      <x:c r="R22" s="37" t="str">
        <x:v>review_required</x:v>
      </x:c>
      <x:c r="S22" s="37" t="str">
        <x:v>False</x:v>
      </x:c>
      <x:c r="T22" s="38" t="str">
        <x:v>Do not promote without scope review, exception review, and author-intent/baseline corroboration.</x:v>
      </x:c>
      <x:c r="U22" s="37" t="str">
        <x:v>70</x:v>
      </x:c>
      <x:c r="V22" s="37" t="str">
        <x:v>medium</x:v>
      </x:c>
      <x:c r="W22" s="37" t="str">
        <x:v>43</x:v>
      </x:c>
      <x:c r="X22" s="37" t="str">
        <x:v>low</x:v>
      </x:c>
      <x:c r="Y22" s="37" t="str">
        <x:v>48</x:v>
      </x:c>
      <x:c r="Z22" s="37" t="str">
        <x:v>low</x:v>
      </x:c>
      <x:c r="AA22" s="38" t="str">
        <x:v>alternative_profiles_present;baseline_incomplete</x:v>
      </x:c>
      <x:c r="AB22" s="37" t="str">
        <x:v>review_required</x:v>
      </x:c>
    </x:row>
    <x:row r="23">
      <x:c r="A23" s="37" t="str">
        <x:v>RC-0022</x:v>
      </x:c>
      <x:c r="B23" s="37" t="str">
        <x:v>enchantment_numeric</x:v>
      </x:c>
      <x:c r="C23" s="37" t="str">
        <x:v>observed_pattern</x:v>
      </x:c>
      <x:c r="D23" s="37" t="str">
        <x:v>repeated_implementation_profile</x:v>
      </x:c>
      <x:c r="E23" s="37" t="str">
        <x:v>Mysticism</x:v>
      </x:c>
      <x:c r="F23" s="37" t="str">
        <x:v>MysticismMagic.esp</x:v>
      </x:c>
      <x:c r="G23" s="37" t="str">
        <x:v>main</x:v>
      </x:c>
      <x:c r="H23" s="38" t="str">
        <x:v>Within MysticismMagic.esp, the enchantment_numeric implementation repeatedly uses: Enchantment | Fire and Forget | Touch | Restoration; observed center: cost=0.0; amount=0.0; effects=1.0</x:v>
      </x:c>
      <x:c r="I23" s="37" t="str">
        <x:v>6</x:v>
      </x:c>
      <x:c r="J23" s="37" t="str">
        <x:v>observed_patterns:enchantment_numeric:Enchantment | Fire and Forget | Touch | Restoration</x:v>
      </x:c>
      <x:c r="K23" s="37" t="str">
        <x:v>descriptive_frequency</x:v>
      </x:c>
      <x:c r="L23" s="37" t="str">
        <x:v>mixed_or_external_missing</x:v>
      </x:c>
      <x:c r="M23" s="37" t="str">
        <x:v>alternative_profiles_present</x:v>
      </x:c>
      <x:c r="N23" s="37" t="str">
        <x:v>17</x:v>
      </x:c>
      <x:c r="O23" s="37" t="str"/>
      <x:c r="P23" s="37" t="str">
        <x:v>42</x:v>
      </x:c>
      <x:c r="Q23" s="37" t="str">
        <x:v>low</x:v>
      </x:c>
      <x:c r="R23" s="37" t="str">
        <x:v>review_required</x:v>
      </x:c>
      <x:c r="S23" s="37" t="str">
        <x:v>False</x:v>
      </x:c>
      <x:c r="T23" s="38" t="str">
        <x:v>Do not promote without scope review, exception review, and author-intent/baseline corroboration.</x:v>
      </x:c>
      <x:c r="U23" s="37" t="str">
        <x:v>62</x:v>
      </x:c>
      <x:c r="V23" s="37" t="str">
        <x:v>medium</x:v>
      </x:c>
      <x:c r="W23" s="37" t="str">
        <x:v>43</x:v>
      </x:c>
      <x:c r="X23" s="37" t="str">
        <x:v>low</x:v>
      </x:c>
      <x:c r="Y23" s="37" t="str">
        <x:v>43</x:v>
      </x:c>
      <x:c r="Z23" s="37" t="str">
        <x:v>low</x:v>
      </x:c>
      <x:c r="AA23" s="38" t="str">
        <x:v>alternative_profiles_present;baseline_incomplete</x:v>
      </x:c>
      <x:c r="AB23" s="37" t="str">
        <x:v>review_required</x:v>
      </x:c>
    </x:row>
    <x:row r="24">
      <x:c r="A24" s="37" t="str">
        <x:v>RC-0023</x:v>
      </x:c>
      <x:c r="B24" s="37" t="str">
        <x:v>enchantment_numeric</x:v>
      </x:c>
      <x:c r="C24" s="37" t="str">
        <x:v>observed_pattern</x:v>
      </x:c>
      <x:c r="D24" s="37" t="str">
        <x:v>repeated_implementation_profile</x:v>
      </x:c>
      <x:c r="E24" s="37" t="str">
        <x:v>Mysticism</x:v>
      </x:c>
      <x:c r="F24" s="37" t="str">
        <x:v>MysticismMagic.esp</x:v>
      </x:c>
      <x:c r="G24" s="37" t="str">
        <x:v>main</x:v>
      </x:c>
      <x:c r="H24" s="38" t="str">
        <x:v>Within MysticismMagic.esp, the enchantment_numeric implementation repeatedly uses: Staff Enchantment | Concentration | Aimed | Destruction;None; observed center: cost=90.0; amount=90.0; effects=4.0</x:v>
      </x:c>
      <x:c r="I24" s="37" t="str">
        <x:v>18</x:v>
      </x:c>
      <x:c r="J24" s="37" t="str">
        <x:v>observed_patterns:enchantment_numeric:Staff Enchantment | Concentration | Aimed | Destruction;None</x:v>
      </x:c>
      <x:c r="K24" s="37" t="str">
        <x:v>descriptive_frequency</x:v>
      </x:c>
      <x:c r="L24" s="37" t="str">
        <x:v>mixed_or_external_missing</x:v>
      </x:c>
      <x:c r="M24" s="37" t="str">
        <x:v>alternative_profiles_present</x:v>
      </x:c>
      <x:c r="N24" s="37" t="str">
        <x:v>17</x:v>
      </x:c>
      <x:c r="O24" s="37" t="str"/>
      <x:c r="P24" s="37" t="str">
        <x:v>48</x:v>
      </x:c>
      <x:c r="Q24" s="37" t="str">
        <x:v>low</x:v>
      </x:c>
      <x:c r="R24" s="37" t="str">
        <x:v>review_required</x:v>
      </x:c>
      <x:c r="S24" s="37" t="str">
        <x:v>False</x:v>
      </x:c>
      <x:c r="T24" s="38" t="str">
        <x:v>Do not promote without scope review, exception review, and author-intent/baseline corroboration.</x:v>
      </x:c>
      <x:c r="U24" s="37" t="str">
        <x:v>70</x:v>
      </x:c>
      <x:c r="V24" s="37" t="str">
        <x:v>medium</x:v>
      </x:c>
      <x:c r="W24" s="37" t="str">
        <x:v>43</x:v>
      </x:c>
      <x:c r="X24" s="37" t="str">
        <x:v>low</x:v>
      </x:c>
      <x:c r="Y24" s="37" t="str">
        <x:v>48</x:v>
      </x:c>
      <x:c r="Z24" s="37" t="str">
        <x:v>low</x:v>
      </x:c>
      <x:c r="AA24" s="38" t="str">
        <x:v>alternative_profiles_present;baseline_incomplete</x:v>
      </x:c>
      <x:c r="AB24" s="37" t="str">
        <x:v>review_required</x:v>
      </x:c>
    </x:row>
    <x:row r="25">
      <x:c r="A25" s="37" t="str">
        <x:v>RC-0024</x:v>
      </x:c>
      <x:c r="B25" s="37" t="str">
        <x:v>enchantment_numeric</x:v>
      </x:c>
      <x:c r="C25" s="37" t="str">
        <x:v>observed_pattern</x:v>
      </x:c>
      <x:c r="D25" s="37" t="str">
        <x:v>repeated_implementation_profile</x:v>
      </x:c>
      <x:c r="E25" s="37" t="str">
        <x:v>Mysticism</x:v>
      </x:c>
      <x:c r="F25" s="37" t="str">
        <x:v>MysticismMagic.esp</x:v>
      </x:c>
      <x:c r="G25" s="37" t="str">
        <x:v>main</x:v>
      </x:c>
      <x:c r="H25" s="38" t="str">
        <x:v>Within MysticismMagic.esp, the enchantment_numeric implementation repeatedly uses: Staff Enchantment | Concentration | Aimed | None;Restoration; observed center: cost=90.0; amount=90.0; effects=2.0</x:v>
      </x:c>
      <x:c r="I25" s="37" t="str">
        <x:v>8</x:v>
      </x:c>
      <x:c r="J25" s="37" t="str">
        <x:v>observed_patterns:enchantment_numeric:Staff Enchantment | Concentration | Aimed | None;Restoration</x:v>
      </x:c>
      <x:c r="K25" s="37" t="str">
        <x:v>descriptive_frequency</x:v>
      </x:c>
      <x:c r="L25" s="37" t="str">
        <x:v>mixed_or_external_missing</x:v>
      </x:c>
      <x:c r="M25" s="37" t="str">
        <x:v>alternative_profiles_present</x:v>
      </x:c>
      <x:c r="N25" s="37" t="str">
        <x:v>17</x:v>
      </x:c>
      <x:c r="O25" s="37" t="str"/>
      <x:c r="P25" s="37" t="str">
        <x:v>42</x:v>
      </x:c>
      <x:c r="Q25" s="37" t="str">
        <x:v>low</x:v>
      </x:c>
      <x:c r="R25" s="37" t="str">
        <x:v>review_required</x:v>
      </x:c>
      <x:c r="S25" s="37" t="str">
        <x:v>False</x:v>
      </x:c>
      <x:c r="T25" s="38" t="str">
        <x:v>Do not promote without scope review, exception review, and author-intent/baseline corroboration.</x:v>
      </x:c>
      <x:c r="U25" s="37" t="str">
        <x:v>62</x:v>
      </x:c>
      <x:c r="V25" s="37" t="str">
        <x:v>medium</x:v>
      </x:c>
      <x:c r="W25" s="37" t="str">
        <x:v>43</x:v>
      </x:c>
      <x:c r="X25" s="37" t="str">
        <x:v>low</x:v>
      </x:c>
      <x:c r="Y25" s="37" t="str">
        <x:v>43</x:v>
      </x:c>
      <x:c r="Z25" s="37" t="str">
        <x:v>low</x:v>
      </x:c>
      <x:c r="AA25" s="38" t="str">
        <x:v>alternative_profiles_present;baseline_incomplete</x:v>
      </x:c>
      <x:c r="AB25" s="37" t="str">
        <x:v>review_required</x:v>
      </x:c>
    </x:row>
    <x:row r="26">
      <x:c r="A26" s="37" t="str">
        <x:v>RC-0025</x:v>
      </x:c>
      <x:c r="B26" s="37" t="str">
        <x:v>enchantment_numeric</x:v>
      </x:c>
      <x:c r="C26" s="37" t="str">
        <x:v>observed_pattern</x:v>
      </x:c>
      <x:c r="D26" s="37" t="str">
        <x:v>repeated_implementation_profile</x:v>
      </x:c>
      <x:c r="E26" s="37" t="str">
        <x:v>Mysticism</x:v>
      </x:c>
      <x:c r="F26" s="37" t="str">
        <x:v>MysticismMagic.esp</x:v>
      </x:c>
      <x:c r="G26" s="37" t="str">
        <x:v>main</x:v>
      </x:c>
      <x:c r="H26" s="38" t="str">
        <x:v>Within MysticismMagic.esp, the enchantment_numeric implementation repeatedly uses: Staff Enchantment | Fire and Forget | Aimed | Alteration;None; observed center: cost=90.0; amount=90.0; effects=2.0</x:v>
      </x:c>
      <x:c r="I26" s="37" t="str">
        <x:v>20</x:v>
      </x:c>
      <x:c r="J26" s="37" t="str">
        <x:v>observed_patterns:enchantment_numeric:Staff Enchantment | Fire and Forget | Aimed | Alteration;None</x:v>
      </x:c>
      <x:c r="K26" s="37" t="str">
        <x:v>descriptive_frequency</x:v>
      </x:c>
      <x:c r="L26" s="37" t="str">
        <x:v>mixed_or_external_missing</x:v>
      </x:c>
      <x:c r="M26" s="37" t="str">
        <x:v>alternative_profiles_present</x:v>
      </x:c>
      <x:c r="N26" s="37" t="str">
        <x:v>17</x:v>
      </x:c>
      <x:c r="O26" s="37" t="str"/>
      <x:c r="P26" s="37" t="str">
        <x:v>53</x:v>
      </x:c>
      <x:c r="Q26" s="37" t="str">
        <x:v>medium</x:v>
      </x:c>
      <x:c r="R26" s="37" t="str">
        <x:v>review_required</x:v>
      </x:c>
      <x:c r="S26" s="37" t="str">
        <x:v>False</x:v>
      </x:c>
      <x:c r="T26" s="38" t="str">
        <x:v>Do not promote without scope review, exception review, and author-intent/baseline corroboration.</x:v>
      </x:c>
      <x:c r="U26" s="37" t="str">
        <x:v>80</x:v>
      </x:c>
      <x:c r="V26" s="37" t="str">
        <x:v>high</x:v>
      </x:c>
      <x:c r="W26" s="37" t="str">
        <x:v>43</x:v>
      </x:c>
      <x:c r="X26" s="37" t="str">
        <x:v>low</x:v>
      </x:c>
      <x:c r="Y26" s="37" t="str">
        <x:v>53</x:v>
      </x:c>
      <x:c r="Z26" s="37" t="str">
        <x:v>medium</x:v>
      </x:c>
      <x:c r="AA26" s="38" t="str">
        <x:v>alternative_profiles_present;baseline_incomplete</x:v>
      </x:c>
      <x:c r="AB26" s="37" t="str">
        <x:v>review_required</x:v>
      </x:c>
    </x:row>
    <x:row r="27">
      <x:c r="A27" s="37" t="str">
        <x:v>RC-0026</x:v>
      </x:c>
      <x:c r="B27" s="37" t="str">
        <x:v>enchantment_numeric</x:v>
      </x:c>
      <x:c r="C27" s="37" t="str">
        <x:v>observed_pattern</x:v>
      </x:c>
      <x:c r="D27" s="37" t="str">
        <x:v>repeated_implementation_profile</x:v>
      </x:c>
      <x:c r="E27" s="37" t="str">
        <x:v>Mysticism</x:v>
      </x:c>
      <x:c r="F27" s="37" t="str">
        <x:v>MysticismMagic.esp</x:v>
      </x:c>
      <x:c r="G27" s="37" t="str">
        <x:v>main</x:v>
      </x:c>
      <x:c r="H27" s="38" t="str">
        <x:v>Within MysticismMagic.esp, the enchantment_numeric implementation repeatedly uses: Staff Enchantment | Fire and Forget | Aimed | Conjuration;None; observed center: cost=60.0; amount=60.0; effects=3.0</x:v>
      </x:c>
      <x:c r="I27" s="37" t="str">
        <x:v>5</x:v>
      </x:c>
      <x:c r="J27" s="37" t="str">
        <x:v>observed_patterns:enchantment_numeric:Staff Enchantment | Fire and Forget | Aimed | Conjuration;None</x:v>
      </x:c>
      <x:c r="K27" s="37" t="str">
        <x:v>descriptive_frequency</x:v>
      </x:c>
      <x:c r="L27" s="37" t="str">
        <x:v>mixed_or_external_missing</x:v>
      </x:c>
      <x:c r="M27" s="37" t="str">
        <x:v>alternative_profiles_present</x:v>
      </x:c>
      <x:c r="N27" s="37" t="str">
        <x:v>17</x:v>
      </x:c>
      <x:c r="O27" s="37" t="str"/>
      <x:c r="P27" s="37" t="str">
        <x:v>42</x:v>
      </x:c>
      <x:c r="Q27" s="37" t="str">
        <x:v>low</x:v>
      </x:c>
      <x:c r="R27" s="37" t="str">
        <x:v>review_required</x:v>
      </x:c>
      <x:c r="S27" s="37" t="str">
        <x:v>False</x:v>
      </x:c>
      <x:c r="T27" s="38" t="str">
        <x:v>Do not promote without scope review, exception review, and author-intent/baseline corroboration.</x:v>
      </x:c>
      <x:c r="U27" s="37" t="str">
        <x:v>62</x:v>
      </x:c>
      <x:c r="V27" s="37" t="str">
        <x:v>medium</x:v>
      </x:c>
      <x:c r="W27" s="37" t="str">
        <x:v>43</x:v>
      </x:c>
      <x:c r="X27" s="37" t="str">
        <x:v>low</x:v>
      </x:c>
      <x:c r="Y27" s="37" t="str">
        <x:v>43</x:v>
      </x:c>
      <x:c r="Z27" s="37" t="str">
        <x:v>low</x:v>
      </x:c>
      <x:c r="AA27" s="38" t="str">
        <x:v>alternative_profiles_present;baseline_incomplete</x:v>
      </x:c>
      <x:c r="AB27" s="37" t="str">
        <x:v>review_required</x:v>
      </x:c>
    </x:row>
    <x:row r="28">
      <x:c r="A28" s="37" t="str">
        <x:v>RC-0027</x:v>
      </x:c>
      <x:c r="B28" s="37" t="str">
        <x:v>enchantment_numeric</x:v>
      </x:c>
      <x:c r="C28" s="37" t="str">
        <x:v>observed_pattern</x:v>
      </x:c>
      <x:c r="D28" s="37" t="str">
        <x:v>repeated_implementation_profile</x:v>
      </x:c>
      <x:c r="E28" s="37" t="str">
        <x:v>Mysticism</x:v>
      </x:c>
      <x:c r="F28" s="37" t="str">
        <x:v>MysticismMagic.esp</x:v>
      </x:c>
      <x:c r="G28" s="37" t="str">
        <x:v>main</x:v>
      </x:c>
      <x:c r="H28" s="38" t="str">
        <x:v>Within MysticismMagic.esp, the enchantment_numeric implementation repeatedly uses: Staff Enchantment | Fire and Forget | Aimed | Destruction;None; observed center: cost=120.0; amount=120.0; effects=3.0</x:v>
      </x:c>
      <x:c r="I28" s="37" t="str">
        <x:v>15</x:v>
      </x:c>
      <x:c r="J28" s="37" t="str">
        <x:v>observed_patterns:enchantment_numeric:Staff Enchantment | Fire and Forget | Aimed | Destruction;None</x:v>
      </x:c>
      <x:c r="K28" s="37" t="str">
        <x:v>descriptive_frequency</x:v>
      </x:c>
      <x:c r="L28" s="37" t="str">
        <x:v>mixed_or_external_missing</x:v>
      </x:c>
      <x:c r="M28" s="37" t="str">
        <x:v>alternative_profiles_present</x:v>
      </x:c>
      <x:c r="N28" s="37" t="str">
        <x:v>17</x:v>
      </x:c>
      <x:c r="O28" s="37" t="str"/>
      <x:c r="P28" s="37" t="str">
        <x:v>48</x:v>
      </x:c>
      <x:c r="Q28" s="37" t="str">
        <x:v>low</x:v>
      </x:c>
      <x:c r="R28" s="37" t="str">
        <x:v>review_required</x:v>
      </x:c>
      <x:c r="S28" s="37" t="str">
        <x:v>False</x:v>
      </x:c>
      <x:c r="T28" s="38" t="str">
        <x:v>Do not promote without scope review, exception review, and author-intent/baseline corroboration.</x:v>
      </x:c>
      <x:c r="U28" s="37" t="str">
        <x:v>70</x:v>
      </x:c>
      <x:c r="V28" s="37" t="str">
        <x:v>medium</x:v>
      </x:c>
      <x:c r="W28" s="37" t="str">
        <x:v>43</x:v>
      </x:c>
      <x:c r="X28" s="37" t="str">
        <x:v>low</x:v>
      </x:c>
      <x:c r="Y28" s="37" t="str">
        <x:v>48</x:v>
      </x:c>
      <x:c r="Z28" s="37" t="str">
        <x:v>low</x:v>
      </x:c>
      <x:c r="AA28" s="38" t="str">
        <x:v>alternative_profiles_present;baseline_incomplete</x:v>
      </x:c>
      <x:c r="AB28" s="37" t="str">
        <x:v>review_required</x:v>
      </x:c>
    </x:row>
    <x:row r="29">
      <x:c r="A29" s="37" t="str">
        <x:v>RC-0028</x:v>
      </x:c>
      <x:c r="B29" s="37" t="str">
        <x:v>enchantment_numeric</x:v>
      </x:c>
      <x:c r="C29" s="37" t="str">
        <x:v>observed_pattern</x:v>
      </x:c>
      <x:c r="D29" s="37" t="str">
        <x:v>repeated_implementation_profile</x:v>
      </x:c>
      <x:c r="E29" s="37" t="str">
        <x:v>Mysticism</x:v>
      </x:c>
      <x:c r="F29" s="37" t="str">
        <x:v>MysticismMagic.esp</x:v>
      </x:c>
      <x:c r="G29" s="37" t="str">
        <x:v>main</x:v>
      </x:c>
      <x:c r="H29" s="38" t="str">
        <x:v>Within MysticismMagic.esp, the enchantment_numeric implementation repeatedly uses: Staff Enchantment | Fire and Forget | Aimed | Illusion;None; observed center: cost=60.0; amount=60.0; effects=4.0</x:v>
      </x:c>
      <x:c r="I29" s="37" t="str">
        <x:v>18</x:v>
      </x:c>
      <x:c r="J29" s="37" t="str">
        <x:v>observed_patterns:enchantment_numeric:Staff Enchantment | Fire and Forget | Aimed | Illusion;None</x:v>
      </x:c>
      <x:c r="K29" s="37" t="str">
        <x:v>descriptive_frequency</x:v>
      </x:c>
      <x:c r="L29" s="37" t="str">
        <x:v>mixed_or_external_missing</x:v>
      </x:c>
      <x:c r="M29" s="37" t="str">
        <x:v>alternative_profiles_present</x:v>
      </x:c>
      <x:c r="N29" s="37" t="str">
        <x:v>17</x:v>
      </x:c>
      <x:c r="O29" s="37" t="str"/>
      <x:c r="P29" s="37" t="str">
        <x:v>48</x:v>
      </x:c>
      <x:c r="Q29" s="37" t="str">
        <x:v>low</x:v>
      </x:c>
      <x:c r="R29" s="37" t="str">
        <x:v>review_required</x:v>
      </x:c>
      <x:c r="S29" s="37" t="str">
        <x:v>False</x:v>
      </x:c>
      <x:c r="T29" s="38" t="str">
        <x:v>Do not promote without scope review, exception review, and author-intent/baseline corroboration.</x:v>
      </x:c>
      <x:c r="U29" s="37" t="str">
        <x:v>70</x:v>
      </x:c>
      <x:c r="V29" s="37" t="str">
        <x:v>medium</x:v>
      </x:c>
      <x:c r="W29" s="37" t="str">
        <x:v>43</x:v>
      </x:c>
      <x:c r="X29" s="37" t="str">
        <x:v>low</x:v>
      </x:c>
      <x:c r="Y29" s="37" t="str">
        <x:v>48</x:v>
      </x:c>
      <x:c r="Z29" s="37" t="str">
        <x:v>low</x:v>
      </x:c>
      <x:c r="AA29" s="38" t="str">
        <x:v>alternative_profiles_present;baseline_incomplete</x:v>
      </x:c>
      <x:c r="AB29" s="37" t="str">
        <x:v>review_required</x:v>
      </x:c>
    </x:row>
    <x:row r="30">
      <x:c r="A30" s="37" t="str">
        <x:v>RC-0029</x:v>
      </x:c>
      <x:c r="B30" s="37" t="str">
        <x:v>enchantment_numeric</x:v>
      </x:c>
      <x:c r="C30" s="37" t="str">
        <x:v>observed_pattern</x:v>
      </x:c>
      <x:c r="D30" s="37" t="str">
        <x:v>repeated_implementation_profile</x:v>
      </x:c>
      <x:c r="E30" s="37" t="str">
        <x:v>Mysticism</x:v>
      </x:c>
      <x:c r="F30" s="37" t="str">
        <x:v>MysticismMagic.esp</x:v>
      </x:c>
      <x:c r="G30" s="37" t="str">
        <x:v>main</x:v>
      </x:c>
      <x:c r="H30" s="38" t="str">
        <x:v>Within MysticismMagic.esp, the enchantment_numeric implementation repeatedly uses: Staff Enchantment | Fire and Forget | Aimed | None;Restoration; observed center: cost=60.0; amount=60.0; effects=2.0</x:v>
      </x:c>
      <x:c r="I30" s="37" t="str">
        <x:v>12</x:v>
      </x:c>
      <x:c r="J30" s="37" t="str">
        <x:v>observed_patterns:enchantment_numeric:Staff Enchantment | Fire and Forget | Aimed | None;Restoration</x:v>
      </x:c>
      <x:c r="K30" s="37" t="str">
        <x:v>descriptive_frequency</x:v>
      </x:c>
      <x:c r="L30" s="37" t="str">
        <x:v>mixed_or_external_missing</x:v>
      </x:c>
      <x:c r="M30" s="37" t="str">
        <x:v>alternative_profiles_present</x:v>
      </x:c>
      <x:c r="N30" s="37" t="str">
        <x:v>17</x:v>
      </x:c>
      <x:c r="O30" s="37" t="str"/>
      <x:c r="P30" s="37" t="str">
        <x:v>48</x:v>
      </x:c>
      <x:c r="Q30" s="37" t="str">
        <x:v>low</x:v>
      </x:c>
      <x:c r="R30" s="37" t="str">
        <x:v>review_required</x:v>
      </x:c>
      <x:c r="S30" s="37" t="str">
        <x:v>False</x:v>
      </x:c>
      <x:c r="T30" s="38" t="str">
        <x:v>Do not promote without scope review, exception review, and author-intent/baseline corroboration.</x:v>
      </x:c>
      <x:c r="U30" s="37" t="str">
        <x:v>70</x:v>
      </x:c>
      <x:c r="V30" s="37" t="str">
        <x:v>medium</x:v>
      </x:c>
      <x:c r="W30" s="37" t="str">
        <x:v>43</x:v>
      </x:c>
      <x:c r="X30" s="37" t="str">
        <x:v>low</x:v>
      </x:c>
      <x:c r="Y30" s="37" t="str">
        <x:v>48</x:v>
      </x:c>
      <x:c r="Z30" s="37" t="str">
        <x:v>low</x:v>
      </x:c>
      <x:c r="AA30" s="38" t="str">
        <x:v>alternative_profiles_present;baseline_incomplete</x:v>
      </x:c>
      <x:c r="AB30" s="37" t="str">
        <x:v>review_required</x:v>
      </x:c>
    </x:row>
    <x:row r="31">
      <x:c r="A31" s="37" t="str">
        <x:v>RC-0030</x:v>
      </x:c>
      <x:c r="B31" s="37" t="str">
        <x:v>enchantment_numeric</x:v>
      </x:c>
      <x:c r="C31" s="37" t="str">
        <x:v>observed_pattern</x:v>
      </x:c>
      <x:c r="D31" s="37" t="str">
        <x:v>repeated_implementation_profile</x:v>
      </x:c>
      <x:c r="E31" s="37" t="str">
        <x:v>Mysticism</x:v>
      </x:c>
      <x:c r="F31" s="37" t="str">
        <x:v>MysticismMagic.esp</x:v>
      </x:c>
      <x:c r="G31" s="37" t="str">
        <x:v>main</x:v>
      </x:c>
      <x:c r="H31" s="38" t="str">
        <x:v>Within MysticismMagic.esp, the enchantment_numeric implementation repeatedly uses: Staff Enchantment | Fire and Forget | Target Actor | Conjuration;None; observed center: cost=60.0; amount=60.0; effects=4.0</x:v>
      </x:c>
      <x:c r="I31" s="37" t="str">
        <x:v>3</x:v>
      </x:c>
      <x:c r="J31" s="37" t="str">
        <x:v>observed_patterns:enchantment_numeric:Staff Enchantment | Fire and Forget | Target Actor | Conjuration;None</x:v>
      </x:c>
      <x:c r="K31" s="37" t="str">
        <x:v>descriptive_frequency</x:v>
      </x:c>
      <x:c r="L31" s="37" t="str">
        <x:v>mixed_or_external_missing</x:v>
      </x:c>
      <x:c r="M31" s="37" t="str">
        <x:v>alternative_profiles_present</x:v>
      </x:c>
      <x:c r="N31" s="37" t="str">
        <x:v>17</x:v>
      </x:c>
      <x:c r="O31" s="37" t="str"/>
      <x:c r="P31" s="37" t="str">
        <x:v>36</x:v>
      </x:c>
      <x:c r="Q31" s="37" t="str">
        <x:v>low</x:v>
      </x:c>
      <x:c r="R31" s="37" t="str">
        <x:v>review_required</x:v>
      </x:c>
      <x:c r="S31" s="37" t="str">
        <x:v>False</x:v>
      </x:c>
      <x:c r="T31" s="38" t="str">
        <x:v>Do not promote without scope review, exception review, and author-intent/baseline corroboration.</x:v>
      </x:c>
      <x:c r="U31" s="37" t="str">
        <x:v>55</x:v>
      </x:c>
      <x:c r="V31" s="37" t="str">
        <x:v>medium</x:v>
      </x:c>
      <x:c r="W31" s="37" t="str">
        <x:v>43</x:v>
      </x:c>
      <x:c r="X31" s="37" t="str">
        <x:v>low</x:v>
      </x:c>
      <x:c r="Y31" s="37" t="str">
        <x:v>40</x:v>
      </x:c>
      <x:c r="Z31" s="37" t="str">
        <x:v>low</x:v>
      </x:c>
      <x:c r="AA31" s="38" t="str">
        <x:v>alternative_profiles_present;baseline_incomplete</x:v>
      </x:c>
      <x:c r="AB31" s="37" t="str">
        <x:v>review_required</x:v>
      </x:c>
    </x:row>
    <x:row r="32">
      <x:c r="A32" s="37" t="str">
        <x:v>RC-0031</x:v>
      </x:c>
      <x:c r="B32" s="37" t="str">
        <x:v>enchantment_numeric</x:v>
      </x:c>
      <x:c r="C32" s="37" t="str">
        <x:v>observed_pattern</x:v>
      </x:c>
      <x:c r="D32" s="37" t="str">
        <x:v>repeated_implementation_profile</x:v>
      </x:c>
      <x:c r="E32" s="37" t="str">
        <x:v>Mysticism</x:v>
      </x:c>
      <x:c r="F32" s="37" t="str">
        <x:v>MysticismMagic.esp</x:v>
      </x:c>
      <x:c r="G32" s="37" t="str">
        <x:v>main</x:v>
      </x:c>
      <x:c r="H32" s="38" t="str">
        <x:v>Within MysticismMagic.esp, the enchantment_numeric implementation repeatedly uses: Staff Enchantment | Fire and Forget | Target Location | Conjuration;None; observed center: cost=120.0; amount=120.0; effects=2.0</x:v>
      </x:c>
      <x:c r="I32" s="37" t="str">
        <x:v>39</x:v>
      </x:c>
      <x:c r="J32" s="37" t="str">
        <x:v>observed_patterns:enchantment_numeric:Staff Enchantment | Fire and Forget | Target Location | Conjuration;None</x:v>
      </x:c>
      <x:c r="K32" s="37" t="str">
        <x:v>descriptive_frequency</x:v>
      </x:c>
      <x:c r="L32" s="37" t="str">
        <x:v>mixed_or_external_missing</x:v>
      </x:c>
      <x:c r="M32" s="37" t="str">
        <x:v>alternative_profiles_present</x:v>
      </x:c>
      <x:c r="N32" s="37" t="str">
        <x:v>17</x:v>
      </x:c>
      <x:c r="O32" s="37" t="str"/>
      <x:c r="P32" s="37" t="str">
        <x:v>53</x:v>
      </x:c>
      <x:c r="Q32" s="37" t="str">
        <x:v>medium</x:v>
      </x:c>
      <x:c r="R32" s="37" t="str">
        <x:v>review_required</x:v>
      </x:c>
      <x:c r="S32" s="37" t="str">
        <x:v>False</x:v>
      </x:c>
      <x:c r="T32" s="38" t="str">
        <x:v>Do not promote without scope review, exception review, and author-intent/baseline corroboration.</x:v>
      </x:c>
      <x:c r="U32" s="37" t="str">
        <x:v>80</x:v>
      </x:c>
      <x:c r="V32" s="37" t="str">
        <x:v>high</x:v>
      </x:c>
      <x:c r="W32" s="37" t="str">
        <x:v>43</x:v>
      </x:c>
      <x:c r="X32" s="37" t="str">
        <x:v>low</x:v>
      </x:c>
      <x:c r="Y32" s="37" t="str">
        <x:v>53</x:v>
      </x:c>
      <x:c r="Z32" s="37" t="str">
        <x:v>medium</x:v>
      </x:c>
      <x:c r="AA32" s="38" t="str">
        <x:v>alternative_profiles_present;baseline_incomplete</x:v>
      </x:c>
      <x:c r="AB32" s="37" t="str">
        <x:v>review_required</x:v>
      </x:c>
    </x:row>
    <x:row r="33">
      <x:c r="A33" s="37" t="str">
        <x:v>RC-0032</x:v>
      </x:c>
      <x:c r="B33" s="37" t="str">
        <x:v>enchantment_numeric</x:v>
      </x:c>
      <x:c r="C33" s="37" t="str">
        <x:v>observed_pattern</x:v>
      </x:c>
      <x:c r="D33" s="37" t="str">
        <x:v>repeated_implementation_profile</x:v>
      </x:c>
      <x:c r="E33" s="37" t="str">
        <x:v>Mysticism</x:v>
      </x:c>
      <x:c r="F33" s="37" t="str">
        <x:v>MysticismMagic.esp</x:v>
      </x:c>
      <x:c r="G33" s="37" t="str">
        <x:v>main</x:v>
      </x:c>
      <x:c r="H33" s="38" t="str">
        <x:v>Within MysticismMagic.esp, the enchantment_numeric implementation repeatedly uses: Staff Enchantment | Fire and Forget | Target Location | Destruction;None; observed center: cost=120.0; amount=120.0; effects=2.0</x:v>
      </x:c>
      <x:c r="I33" s="37" t="str">
        <x:v>7</x:v>
      </x:c>
      <x:c r="J33" s="37" t="str">
        <x:v>observed_patterns:enchantment_numeric:Staff Enchantment | Fire and Forget | Target Location | Destruction;None</x:v>
      </x:c>
      <x:c r="K33" s="37" t="str">
        <x:v>descriptive_frequency</x:v>
      </x:c>
      <x:c r="L33" s="37" t="str">
        <x:v>mixed_or_external_missing</x:v>
      </x:c>
      <x:c r="M33" s="37" t="str">
        <x:v>alternative_profiles_present</x:v>
      </x:c>
      <x:c r="N33" s="37" t="str">
        <x:v>17</x:v>
      </x:c>
      <x:c r="O33" s="37" t="str"/>
      <x:c r="P33" s="37" t="str">
        <x:v>42</x:v>
      </x:c>
      <x:c r="Q33" s="37" t="str">
        <x:v>low</x:v>
      </x:c>
      <x:c r="R33" s="37" t="str">
        <x:v>review_required</x:v>
      </x:c>
      <x:c r="S33" s="37" t="str">
        <x:v>False</x:v>
      </x:c>
      <x:c r="T33" s="38" t="str">
        <x:v>Do not promote without scope review, exception review, and author-intent/baseline corroboration.</x:v>
      </x:c>
      <x:c r="U33" s="37" t="str">
        <x:v>62</x:v>
      </x:c>
      <x:c r="V33" s="37" t="str">
        <x:v>medium</x:v>
      </x:c>
      <x:c r="W33" s="37" t="str">
        <x:v>43</x:v>
      </x:c>
      <x:c r="X33" s="37" t="str">
        <x:v>low</x:v>
      </x:c>
      <x:c r="Y33" s="37" t="str">
        <x:v>43</x:v>
      </x:c>
      <x:c r="Z33" s="37" t="str">
        <x:v>low</x:v>
      </x:c>
      <x:c r="AA33" s="38" t="str">
        <x:v>alternative_profiles_present;baseline_incomplete</x:v>
      </x:c>
      <x:c r="AB33" s="37" t="str">
        <x:v>review_required</x:v>
      </x:c>
    </x:row>
    <x:row r="34">
      <x:c r="A34" s="37" t="str">
        <x:v>RC-0033</x:v>
      </x:c>
      <x:c r="B34" s="37" t="str">
        <x:v>enchantment_numeric</x:v>
      </x:c>
      <x:c r="C34" s="37" t="str">
        <x:v>observed_pattern</x:v>
      </x:c>
      <x:c r="D34" s="37" t="str">
        <x:v>repeated_implementation_profile</x:v>
      </x:c>
      <x:c r="E34" s="37" t="str">
        <x:v>Mysticism</x:v>
      </x:c>
      <x:c r="F34" s="37" t="str">
        <x:v>MysticismMagic.esp</x:v>
      </x:c>
      <x:c r="G34" s="37" t="str">
        <x:v>main</x:v>
      </x:c>
      <x:c r="H34" s="38" t="str">
        <x:v>Within MysticismMagic.esp, the enchantment_numeric implementation repeatedly uses: Staff Enchantment | Fire and Forget | Target Location | Illusion;None; observed center: cost=120.0; amount=120.0; effects=2.0</x:v>
      </x:c>
      <x:c r="I34" s="37" t="str">
        <x:v>6</x:v>
      </x:c>
      <x:c r="J34" s="37" t="str">
        <x:v>observed_patterns:enchantment_numeric:Staff Enchantment | Fire and Forget | Target Location | Illusion;None</x:v>
      </x:c>
      <x:c r="K34" s="37" t="str">
        <x:v>descriptive_frequency</x:v>
      </x:c>
      <x:c r="L34" s="37" t="str">
        <x:v>mixed_or_external_missing</x:v>
      </x:c>
      <x:c r="M34" s="37" t="str">
        <x:v>alternative_profiles_present</x:v>
      </x:c>
      <x:c r="N34" s="37" t="str">
        <x:v>17</x:v>
      </x:c>
      <x:c r="O34" s="37" t="str"/>
      <x:c r="P34" s="37" t="str">
        <x:v>42</x:v>
      </x:c>
      <x:c r="Q34" s="37" t="str">
        <x:v>low</x:v>
      </x:c>
      <x:c r="R34" s="37" t="str">
        <x:v>review_required</x:v>
      </x:c>
      <x:c r="S34" s="37" t="str">
        <x:v>False</x:v>
      </x:c>
      <x:c r="T34" s="38" t="str">
        <x:v>Do not promote without scope review, exception review, and author-intent/baseline corroboration.</x:v>
      </x:c>
      <x:c r="U34" s="37" t="str">
        <x:v>62</x:v>
      </x:c>
      <x:c r="V34" s="37" t="str">
        <x:v>medium</x:v>
      </x:c>
      <x:c r="W34" s="37" t="str">
        <x:v>43</x:v>
      </x:c>
      <x:c r="X34" s="37" t="str">
        <x:v>low</x:v>
      </x:c>
      <x:c r="Y34" s="37" t="str">
        <x:v>43</x:v>
      </x:c>
      <x:c r="Z34" s="37" t="str">
        <x:v>low</x:v>
      </x:c>
      <x:c r="AA34" s="38" t="str">
        <x:v>alternative_profiles_present;baseline_incomplete</x:v>
      </x:c>
      <x:c r="AB34" s="37" t="str">
        <x:v>review_required</x:v>
      </x:c>
    </x:row>
    <x:row r="35">
      <x:c r="A35" s="37" t="str">
        <x:v>RC-0034</x:v>
      </x:c>
      <x:c r="B35" s="37" t="str">
        <x:v>enchantment_numeric</x:v>
      </x:c>
      <x:c r="C35" s="37" t="str">
        <x:v>observed_pattern</x:v>
      </x:c>
      <x:c r="D35" s="37" t="str">
        <x:v>repeated_implementation_profile</x:v>
      </x:c>
      <x:c r="E35" s="37" t="str">
        <x:v>Mysticism</x:v>
      </x:c>
      <x:c r="F35" s="37" t="str">
        <x:v>MysticismMagic.esp</x:v>
      </x:c>
      <x:c r="G35" s="37" t="str">
        <x:v>main</x:v>
      </x:c>
      <x:c r="H35" s="38" t="str">
        <x:v>Within MysticismMagic.esp, the enchantment_numeric implementation repeatedly uses: Staff Enchantment | Fire and Forget | Target Location | None;Restoration; observed center: cost=75.0; amount=75.0; effects=2.0</x:v>
      </x:c>
      <x:c r="I35" s="37" t="str">
        <x:v>4</x:v>
      </x:c>
      <x:c r="J35" s="37" t="str">
        <x:v>observed_patterns:enchantment_numeric:Staff Enchantment | Fire and Forget | Target Location | None;Restoration</x:v>
      </x:c>
      <x:c r="K35" s="37" t="str">
        <x:v>descriptive_frequency</x:v>
      </x:c>
      <x:c r="L35" s="37" t="str">
        <x:v>mixed_or_external_missing</x:v>
      </x:c>
      <x:c r="M35" s="37" t="str">
        <x:v>alternative_profiles_present</x:v>
      </x:c>
      <x:c r="N35" s="37" t="str">
        <x:v>17</x:v>
      </x:c>
      <x:c r="O35" s="37" t="str"/>
      <x:c r="P35" s="37" t="str">
        <x:v>36</x:v>
      </x:c>
      <x:c r="Q35" s="37" t="str">
        <x:v>low</x:v>
      </x:c>
      <x:c r="R35" s="37" t="str">
        <x:v>review_required</x:v>
      </x:c>
      <x:c r="S35" s="37" t="str">
        <x:v>False</x:v>
      </x:c>
      <x:c r="T35" s="38" t="str">
        <x:v>Do not promote without scope review, exception review, and author-intent/baseline corroboration.</x:v>
      </x:c>
      <x:c r="U35" s="37" t="str">
        <x:v>55</x:v>
      </x:c>
      <x:c r="V35" s="37" t="str">
        <x:v>medium</x:v>
      </x:c>
      <x:c r="W35" s="37" t="str">
        <x:v>43</x:v>
      </x:c>
      <x:c r="X35" s="37" t="str">
        <x:v>low</x:v>
      </x:c>
      <x:c r="Y35" s="37" t="str">
        <x:v>40</x:v>
      </x:c>
      <x:c r="Z35" s="37" t="str">
        <x:v>low</x:v>
      </x:c>
      <x:c r="AA35" s="38" t="str">
        <x:v>alternative_profiles_present;baseline_incomplete</x:v>
      </x:c>
      <x:c r="AB35" s="37" t="str">
        <x:v>review_required</x:v>
      </x:c>
    </x:row>
    <x:row r="36">
      <x:c r="A36" s="37" t="str">
        <x:v>RC-0035</x:v>
      </x:c>
      <x:c r="B36" s="37" t="str">
        <x:v>movement_numeric</x:v>
      </x:c>
      <x:c r="C36" s="37" t="str">
        <x:v>observed_pattern</x:v>
      </x:c>
      <x:c r="D36" s="37" t="str">
        <x:v>repeated_implementation_profile</x:v>
      </x:c>
      <x:c r="E36" s="37" t="str">
        <x:v>Blade and Blunt</x:v>
      </x:c>
      <x:c r="F36" s="37" t="str">
        <x:v>BladeAndBlunt.esp</x:v>
      </x:c>
      <x:c r="G36" s="37" t="str">
        <x:v>main</x:v>
      </x:c>
      <x:c r="H36" s="38" t="str">
        <x:v>Within BladeAndBlunt.esp, the movement_numeric implementation repeatedly uses: Exact MOVT profile MOVT-P01 | NPC_Attacking2H_MT;NPC_Attacking_MT;NPC_PowerAttacking_MT; observed center: forward run/walk ratio=2.66667</x:v>
      </x:c>
      <x:c r="I36" s="37" t="str">
        <x:v>3</x:v>
      </x:c>
      <x:c r="J36" s="37" t="str">
        <x:v>observed_patterns:movement_numeric:Exact MOVT profile MOVT-P01 | NPC_Attacking2H_MT;NPC_Attacking_MT;NPC_PowerAttacking_MT</x:v>
      </x:c>
      <x:c r="K36" s="37" t="str">
        <x:v>exact_repeated_profile</x:v>
      </x:c>
      <x:c r="L36" s="37" t="str">
        <x:v>mixed_or_external_missing</x:v>
      </x:c>
      <x:c r="M36" s="37" t="str">
        <x:v>alternative_profiles_present</x:v>
      </x:c>
      <x:c r="N36" s="37" t="str">
        <x:v>1</x:v>
      </x:c>
      <x:c r="O36" s="37" t="str"/>
      <x:c r="P36" s="37" t="str">
        <x:v>36</x:v>
      </x:c>
      <x:c r="Q36" s="37" t="str">
        <x:v>low</x:v>
      </x:c>
      <x:c r="R36" s="37" t="str">
        <x:v>review_required</x:v>
      </x:c>
      <x:c r="S36" s="37" t="str">
        <x:v>False</x:v>
      </x:c>
      <x:c r="T36" s="38" t="str">
        <x:v>Do not promote without scope review, exception review, and author-intent/baseline corroboration.</x:v>
      </x:c>
      <x:c r="U36" s="37" t="str">
        <x:v>60</x:v>
      </x:c>
      <x:c r="V36" s="37" t="str">
        <x:v>medium</x:v>
      </x:c>
      <x:c r="W36" s="37" t="str">
        <x:v>40</x:v>
      </x:c>
      <x:c r="X36" s="37" t="str">
        <x:v>low</x:v>
      </x:c>
      <x:c r="Y36" s="37" t="str">
        <x:v>41</x:v>
      </x:c>
      <x:c r="Z36" s="37" t="str">
        <x:v>low</x:v>
      </x:c>
      <x:c r="AA36" s="38" t="str">
        <x:v>alternative_profiles_present;baseline_incomplete</x:v>
      </x:c>
      <x:c r="AB36" s="37" t="str">
        <x:v>review_required</x:v>
      </x:c>
    </x:row>
    <x:row r="37">
      <x:c r="A37" s="37" t="str">
        <x:v>RC-0036</x:v>
      </x:c>
      <x:c r="B37" s="37" t="str">
        <x:v>movement_numeric</x:v>
      </x:c>
      <x:c r="C37" s="37" t="str">
        <x:v>observed_pattern</x:v>
      </x:c>
      <x:c r="D37" s="37" t="str">
        <x:v>repeated_implementation_profile</x:v>
      </x:c>
      <x:c r="E37" s="37" t="str">
        <x:v>Blade and Blunt</x:v>
      </x:c>
      <x:c r="F37" s="37" t="str">
        <x:v>BladeAndBlunt.esp</x:v>
      </x:c>
      <x:c r="G37" s="37" t="str">
        <x:v>main</x:v>
      </x:c>
      <x:c r="H37" s="38" t="str">
        <x:v>Within BladeAndBlunt.esp, the movement_numeric implementation repeatedly uses: Exact MOVT profile MOVT-P02 | NPC_1HM_MT;NPC_2HM_MT;NPC_Default_MT; observed center: forward run/walk ratio=4.375</x:v>
      </x:c>
      <x:c r="I37" s="37" t="str">
        <x:v>3</x:v>
      </x:c>
      <x:c r="J37" s="37" t="str">
        <x:v>observed_patterns:movement_numeric:Exact MOVT profile MOVT-P02 | NPC_1HM_MT;NPC_2HM_MT;NPC_Default_MT</x:v>
      </x:c>
      <x:c r="K37" s="37" t="str">
        <x:v>exact_repeated_profile</x:v>
      </x:c>
      <x:c r="L37" s="37" t="str">
        <x:v>mixed_or_external_missing</x:v>
      </x:c>
      <x:c r="M37" s="37" t="str">
        <x:v>alternative_profiles_present</x:v>
      </x:c>
      <x:c r="N37" s="37" t="str">
        <x:v>1</x:v>
      </x:c>
      <x:c r="O37" s="37" t="str"/>
      <x:c r="P37" s="37" t="str">
        <x:v>36</x:v>
      </x:c>
      <x:c r="Q37" s="37" t="str">
        <x:v>low</x:v>
      </x:c>
      <x:c r="R37" s="37" t="str">
        <x:v>review_required</x:v>
      </x:c>
      <x:c r="S37" s="37" t="str">
        <x:v>False</x:v>
      </x:c>
      <x:c r="T37" s="38" t="str">
        <x:v>Do not promote without scope review, exception review, and author-intent/baseline corroboration.</x:v>
      </x:c>
      <x:c r="U37" s="37" t="str">
        <x:v>60</x:v>
      </x:c>
      <x:c r="V37" s="37" t="str">
        <x:v>medium</x:v>
      </x:c>
      <x:c r="W37" s="37" t="str">
        <x:v>40</x:v>
      </x:c>
      <x:c r="X37" s="37" t="str">
        <x:v>low</x:v>
      </x:c>
      <x:c r="Y37" s="37" t="str">
        <x:v>41</x:v>
      </x:c>
      <x:c r="Z37" s="37" t="str">
        <x:v>low</x:v>
      </x:c>
      <x:c r="AA37" s="38" t="str">
        <x:v>alternative_profiles_present;baseline_incomplete</x:v>
      </x:c>
      <x:c r="AB37" s="37" t="str">
        <x:v>review_required</x:v>
      </x:c>
    </x:row>
    <x:row r="38">
      <x:c r="A38" s="37" t="str">
        <x:v>RC-0037</x:v>
      </x:c>
      <x:c r="B38" s="37" t="str">
        <x:v>movement_thresholds</x:v>
      </x:c>
      <x:c r="C38" s="37" t="str">
        <x:v>observed_pattern</x:v>
      </x:c>
      <x:c r="D38" s="37" t="str">
        <x:v>repeated_implementation_profile</x:v>
      </x:c>
      <x:c r="E38" s="37" t="str">
        <x:v>Blade and Blunt</x:v>
      </x:c>
      <x:c r="F38" s="37" t="str">
        <x:v>BladeAndBlunt.esp</x:v>
      </x:c>
      <x:c r="G38" s="37" t="str">
        <x:v>main</x:v>
      </x:c>
      <x:c r="H38" s="38" t="str">
        <x:v>Within BladeAndBlunt.esp, the movement_thresholds implementation repeatedly uses: All supplied MOVT INAM thresholds use FLT_MAX sentinel; observed center: sentinel</x:v>
      </x:c>
      <x:c r="I38" s="37" t="str">
        <x:v>12</x:v>
      </x:c>
      <x:c r="J38" s="37" t="str">
        <x:v>observed_patterns:movement_thresholds:All supplied MOVT INAM thresholds use FLT_MAX sentinel</x:v>
      </x:c>
      <x:c r="K38" s="37" t="str">
        <x:v>complete_domain_observation</x:v>
      </x:c>
      <x:c r="L38" s="37" t="str">
        <x:v>mixed_or_external_missing</x:v>
      </x:c>
      <x:c r="M38" s="37" t="str">
        <x:v>no_alternative_profile_in_current_grouping</x:v>
      </x:c>
      <x:c r="N38" s="37" t="str">
        <x:v>0</x:v>
      </x:c>
      <x:c r="O38" s="37" t="str"/>
      <x:c r="P38" s="37" t="str">
        <x:v>48</x:v>
      </x:c>
      <x:c r="Q38" s="37" t="str">
        <x:v>low</x:v>
      </x:c>
      <x:c r="R38" s="37" t="str">
        <x:v>review_required</x:v>
      </x:c>
      <x:c r="S38" s="37" t="str">
        <x:v>False</x:v>
      </x:c>
      <x:c r="T38" s="38" t="str">
        <x:v>Do not promote without scope review, exception review, and author-intent/baseline corroboration.</x:v>
      </x:c>
      <x:c r="U38" s="37" t="str">
        <x:v>70</x:v>
      </x:c>
      <x:c r="V38" s="37" t="str">
        <x:v>medium</x:v>
      </x:c>
      <x:c r="W38" s="37" t="str">
        <x:v>40</x:v>
      </x:c>
      <x:c r="X38" s="37" t="str">
        <x:v>low</x:v>
      </x:c>
      <x:c r="Y38" s="37" t="str">
        <x:v>52</x:v>
      </x:c>
      <x:c r="Z38" s="37" t="str">
        <x:v>medium</x:v>
      </x:c>
      <x:c r="AA38" s="38" t="str">
        <x:v>baseline_incomplete</x:v>
      </x:c>
      <x:c r="AB38" s="37" t="str">
        <x:v>review_required</x:v>
      </x:c>
    </x:row>
    <x:row r="39">
      <x:c r="A39" s="37" t="str">
        <x:v>RC-0038</x:v>
      </x:c>
      <x:c r="B39" s="37" t="str">
        <x:v>perk_entry_point</x:v>
      </x:c>
      <x:c r="C39" s="37" t="str">
        <x:v>observed_pattern</x:v>
      </x:c>
      <x:c r="D39" s="37" t="str">
        <x:v>repeated_implementation_profile</x:v>
      </x:c>
      <x:c r="E39" s="37" t="str">
        <x:v>Adamant</x:v>
      </x:c>
      <x:c r="F39" s="37" t="str">
        <x:v>Adamant.esp</x:v>
      </x:c>
      <x:c r="G39" s="37" t="str">
        <x:v>main</x:v>
      </x:c>
      <x:c r="H39" s="38" t="str">
        <x:v>Within Adamant.esp, the perk_entry_point implementation repeatedly uses: Apply Bashing Spell | Select Spell | spell</x:v>
      </x:c>
      <x:c r="I39" s="37" t="str">
        <x:v>8</x:v>
      </x:c>
      <x:c r="J39" s="37" t="str">
        <x:v>observed_patterns:perk_entry_point:Apply Bashing Spell | Select Spell | spell</x:v>
      </x:c>
      <x:c r="K39" s="37" t="str">
        <x:v>descriptive_frequency</x:v>
      </x:c>
      <x:c r="L39" s="37" t="str">
        <x:v>mixed_or_external_missing</x:v>
      </x:c>
      <x:c r="M39" s="37" t="str">
        <x:v>alternative_profiles_present</x:v>
      </x:c>
      <x:c r="N39" s="37" t="str">
        <x:v>39</x:v>
      </x:c>
      <x:c r="O39" s="37" t="str"/>
      <x:c r="P39" s="37" t="str">
        <x:v>42</x:v>
      </x:c>
      <x:c r="Q39" s="37" t="str">
        <x:v>low</x:v>
      </x:c>
      <x:c r="R39" s="37" t="str">
        <x:v>review_required</x:v>
      </x:c>
      <x:c r="S39" s="37" t="str">
        <x:v>False</x:v>
      </x:c>
      <x:c r="T39" s="38" t="str">
        <x:v>Do not promote without scope review, exception review, and author-intent/baseline corroboration.</x:v>
      </x:c>
      <x:c r="U39" s="37" t="str">
        <x:v>62</x:v>
      </x:c>
      <x:c r="V39" s="37" t="str">
        <x:v>medium</x:v>
      </x:c>
      <x:c r="W39" s="37" t="str">
        <x:v>43</x:v>
      </x:c>
      <x:c r="X39" s="37" t="str">
        <x:v>low</x:v>
      </x:c>
      <x:c r="Y39" s="37" t="str">
        <x:v>43</x:v>
      </x:c>
      <x:c r="Z39" s="37" t="str">
        <x:v>low</x:v>
      </x:c>
      <x:c r="AA39" s="38" t="str">
        <x:v>alternative_profiles_present;baseline_incomplete</x:v>
      </x:c>
      <x:c r="AB39" s="37" t="str">
        <x:v>review_required</x:v>
      </x:c>
    </x:row>
    <x:row r="40">
      <x:c r="A40" s="37" t="str">
        <x:v>RC-0039</x:v>
      </x:c>
      <x:c r="B40" s="37" t="str">
        <x:v>perk_entry_point</x:v>
      </x:c>
      <x:c r="C40" s="37" t="str">
        <x:v>observed_pattern</x:v>
      </x:c>
      <x:c r="D40" s="37" t="str">
        <x:v>repeated_implementation_profile</x:v>
      </x:c>
      <x:c r="E40" s="37" t="str">
        <x:v>Adamant</x:v>
      </x:c>
      <x:c r="F40" s="37" t="str">
        <x:v>Adamant.esp</x:v>
      </x:c>
      <x:c r="G40" s="37" t="str">
        <x:v>main</x:v>
      </x:c>
      <x:c r="H40" s="38" t="str">
        <x:v>Within Adamant.esp, the perk_entry_point implementation repeatedly uses: Apply Combat Hit Spell | Select Spell | spell</x:v>
      </x:c>
      <x:c r="I40" s="37" t="str">
        <x:v>49</x:v>
      </x:c>
      <x:c r="J40" s="37" t="str">
        <x:v>observed_patterns:perk_entry_point:Apply Combat Hit Spell | Select Spell | spell</x:v>
      </x:c>
      <x:c r="K40" s="37" t="str">
        <x:v>descriptive_frequency</x:v>
      </x:c>
      <x:c r="L40" s="37" t="str">
        <x:v>mixed_or_external_missing</x:v>
      </x:c>
      <x:c r="M40" s="37" t="str">
        <x:v>alternative_profiles_present</x:v>
      </x:c>
      <x:c r="N40" s="37" t="str">
        <x:v>39</x:v>
      </x:c>
      <x:c r="O40" s="37" t="str"/>
      <x:c r="P40" s="37" t="str">
        <x:v>53</x:v>
      </x:c>
      <x:c r="Q40" s="37" t="str">
        <x:v>medium</x:v>
      </x:c>
      <x:c r="R40" s="37" t="str">
        <x:v>review_required</x:v>
      </x:c>
      <x:c r="S40" s="37" t="str">
        <x:v>False</x:v>
      </x:c>
      <x:c r="T40" s="38" t="str">
        <x:v>Do not promote without scope review, exception review, and author-intent/baseline corroboration.</x:v>
      </x:c>
      <x:c r="U40" s="37" t="str">
        <x:v>80</x:v>
      </x:c>
      <x:c r="V40" s="37" t="str">
        <x:v>high</x:v>
      </x:c>
      <x:c r="W40" s="37" t="str">
        <x:v>43</x:v>
      </x:c>
      <x:c r="X40" s="37" t="str">
        <x:v>low</x:v>
      </x:c>
      <x:c r="Y40" s="37" t="str">
        <x:v>53</x:v>
      </x:c>
      <x:c r="Z40" s="37" t="str">
        <x:v>medium</x:v>
      </x:c>
      <x:c r="AA40" s="38" t="str">
        <x:v>alternative_profiles_present;baseline_incomplete</x:v>
      </x:c>
      <x:c r="AB40" s="37" t="str">
        <x:v>review_required</x:v>
      </x:c>
    </x:row>
    <x:row r="41">
      <x:c r="A41" s="37" t="str">
        <x:v>RC-0040</x:v>
      </x:c>
      <x:c r="B41" s="37" t="str">
        <x:v>perk_entry_point</x:v>
      </x:c>
      <x:c r="C41" s="37" t="str">
        <x:v>observed_pattern</x:v>
      </x:c>
      <x:c r="D41" s="37" t="str">
        <x:v>repeated_implementation_profile</x:v>
      </x:c>
      <x:c r="E41" s="37" t="str">
        <x:v>Adamant</x:v>
      </x:c>
      <x:c r="F41" s="37" t="str">
        <x:v>Adamant.esp</x:v>
      </x:c>
      <x:c r="G41" s="37" t="str">
        <x:v>main</x:v>
      </x:c>
      <x:c r="H41" s="38" t="str">
        <x:v>Within Adamant.esp, the perk_entry_point implementation repeatedly uses: Apply Reanimate Spell | Select Spell | spell</x:v>
      </x:c>
      <x:c r="I41" s="37" t="str">
        <x:v>10</x:v>
      </x:c>
      <x:c r="J41" s="37" t="str">
        <x:v>observed_patterns:perk_entry_point:Apply Reanimate Spell | Select Spell | spell</x:v>
      </x:c>
      <x:c r="K41" s="37" t="str">
        <x:v>descriptive_frequency</x:v>
      </x:c>
      <x:c r="L41" s="37" t="str">
        <x:v>mixed_or_external_missing</x:v>
      </x:c>
      <x:c r="M41" s="37" t="str">
        <x:v>alternative_profiles_present</x:v>
      </x:c>
      <x:c r="N41" s="37" t="str">
        <x:v>39</x:v>
      </x:c>
      <x:c r="O41" s="37" t="str"/>
      <x:c r="P41" s="37" t="str">
        <x:v>48</x:v>
      </x:c>
      <x:c r="Q41" s="37" t="str">
        <x:v>low</x:v>
      </x:c>
      <x:c r="R41" s="37" t="str">
        <x:v>review_required</x:v>
      </x:c>
      <x:c r="S41" s="37" t="str">
        <x:v>False</x:v>
      </x:c>
      <x:c r="T41" s="38" t="str">
        <x:v>Do not promote without scope review, exception review, and author-intent/baseline corroboration.</x:v>
      </x:c>
      <x:c r="U41" s="37" t="str">
        <x:v>70</x:v>
      </x:c>
      <x:c r="V41" s="37" t="str">
        <x:v>medium</x:v>
      </x:c>
      <x:c r="W41" s="37" t="str">
        <x:v>43</x:v>
      </x:c>
      <x:c r="X41" s="37" t="str">
        <x:v>low</x:v>
      </x:c>
      <x:c r="Y41" s="37" t="str">
        <x:v>48</x:v>
      </x:c>
      <x:c r="Z41" s="37" t="str">
        <x:v>low</x:v>
      </x:c>
      <x:c r="AA41" s="38" t="str">
        <x:v>alternative_profiles_present;baseline_incomplete</x:v>
      </x:c>
      <x:c r="AB41" s="37" t="str">
        <x:v>review_required</x:v>
      </x:c>
    </x:row>
    <x:row r="42">
      <x:c r="A42" s="37" t="str">
        <x:v>RC-0041</x:v>
      </x:c>
      <x:c r="B42" s="37" t="str">
        <x:v>perk_entry_point</x:v>
      </x:c>
      <x:c r="C42" s="37" t="str">
        <x:v>observed_pattern</x:v>
      </x:c>
      <x:c r="D42" s="37" t="str">
        <x:v>repeated_implementation_profile</x:v>
      </x:c>
      <x:c r="E42" s="37" t="str">
        <x:v>Adamant</x:v>
      </x:c>
      <x:c r="F42" s="37" t="str">
        <x:v>Adamant.esp</x:v>
      </x:c>
      <x:c r="G42" s="37" t="str">
        <x:v>main</x:v>
      </x:c>
      <x:c r="H42" s="38" t="str">
        <x:v>Within Adamant.esp, the perk_entry_point implementation repeatedly uses: Apply Sneaking Spell | Select Spell | spell</x:v>
      </x:c>
      <x:c r="I42" s="37" t="str">
        <x:v>5</x:v>
      </x:c>
      <x:c r="J42" s="37" t="str">
        <x:v>observed_patterns:perk_entry_point:Apply Sneaking Spell | Select Spell | spell</x:v>
      </x:c>
      <x:c r="K42" s="37" t="str">
        <x:v>descriptive_frequency</x:v>
      </x:c>
      <x:c r="L42" s="37" t="str">
        <x:v>mixed_or_external_missing</x:v>
      </x:c>
      <x:c r="M42" s="37" t="str">
        <x:v>alternative_profiles_present</x:v>
      </x:c>
      <x:c r="N42" s="37" t="str">
        <x:v>39</x:v>
      </x:c>
      <x:c r="O42" s="37" t="str"/>
      <x:c r="P42" s="37" t="str">
        <x:v>42</x:v>
      </x:c>
      <x:c r="Q42" s="37" t="str">
        <x:v>low</x:v>
      </x:c>
      <x:c r="R42" s="37" t="str">
        <x:v>review_required</x:v>
      </x:c>
      <x:c r="S42" s="37" t="str">
        <x:v>False</x:v>
      </x:c>
      <x:c r="T42" s="38" t="str">
        <x:v>Do not promote without scope review, exception review, and author-intent/baseline corroboration.</x:v>
      </x:c>
      <x:c r="U42" s="37" t="str">
        <x:v>62</x:v>
      </x:c>
      <x:c r="V42" s="37" t="str">
        <x:v>medium</x:v>
      </x:c>
      <x:c r="W42" s="37" t="str">
        <x:v>43</x:v>
      </x:c>
      <x:c r="X42" s="37" t="str">
        <x:v>low</x:v>
      </x:c>
      <x:c r="Y42" s="37" t="str">
        <x:v>43</x:v>
      </x:c>
      <x:c r="Z42" s="37" t="str">
        <x:v>low</x:v>
      </x:c>
      <x:c r="AA42" s="38" t="str">
        <x:v>alternative_profiles_present;baseline_incomplete</x:v>
      </x:c>
      <x:c r="AB42" s="37" t="str">
        <x:v>review_required</x:v>
      </x:c>
    </x:row>
    <x:row r="43">
      <x:c r="A43" s="37" t="str">
        <x:v>RC-0042</x:v>
      </x:c>
      <x:c r="B43" s="37" t="str">
        <x:v>perk_entry_point</x:v>
      </x:c>
      <x:c r="C43" s="37" t="str">
        <x:v>observed_pattern</x:v>
      </x:c>
      <x:c r="D43" s="37" t="str">
        <x:v>repeated_implementation_profile</x:v>
      </x:c>
      <x:c r="E43" s="37" t="str">
        <x:v>Adamant</x:v>
      </x:c>
      <x:c r="F43" s="37" t="str">
        <x:v>Adamant.esp</x:v>
      </x:c>
      <x:c r="G43" s="37" t="str">
        <x:v>main</x:v>
      </x:c>
      <x:c r="H43" s="38" t="str">
        <x:v>Within Adamant.esp, the perk_entry_point implementation repeatedly uses: Calculate My Critical Hit Chance | Add Value | float; observed center: 25.0</x:v>
      </x:c>
      <x:c r="I43" s="37" t="str">
        <x:v>6</x:v>
      </x:c>
      <x:c r="J43" s="37" t="str">
        <x:v>observed_patterns:perk_entry_point:Calculate My Critical Hit Chance | Add Value | float</x:v>
      </x:c>
      <x:c r="K43" s="37" t="str">
        <x:v>descriptive_frequency</x:v>
      </x:c>
      <x:c r="L43" s="37" t="str">
        <x:v>mixed_or_external_missing</x:v>
      </x:c>
      <x:c r="M43" s="37" t="str">
        <x:v>alternative_profiles_present</x:v>
      </x:c>
      <x:c r="N43" s="37" t="str">
        <x:v>39</x:v>
      </x:c>
      <x:c r="O43" s="37" t="str"/>
      <x:c r="P43" s="37" t="str">
        <x:v>42</x:v>
      </x:c>
      <x:c r="Q43" s="37" t="str">
        <x:v>low</x:v>
      </x:c>
      <x:c r="R43" s="37" t="str">
        <x:v>review_required</x:v>
      </x:c>
      <x:c r="S43" s="37" t="str">
        <x:v>False</x:v>
      </x:c>
      <x:c r="T43" s="38" t="str">
        <x:v>Do not promote without scope review, exception review, and author-intent/baseline corroboration.</x:v>
      </x:c>
      <x:c r="U43" s="37" t="str">
        <x:v>62</x:v>
      </x:c>
      <x:c r="V43" s="37" t="str">
        <x:v>medium</x:v>
      </x:c>
      <x:c r="W43" s="37" t="str">
        <x:v>43</x:v>
      </x:c>
      <x:c r="X43" s="37" t="str">
        <x:v>low</x:v>
      </x:c>
      <x:c r="Y43" s="37" t="str">
        <x:v>43</x:v>
      </x:c>
      <x:c r="Z43" s="37" t="str">
        <x:v>low</x:v>
      </x:c>
      <x:c r="AA43" s="38" t="str">
        <x:v>alternative_profiles_present;baseline_incomplete</x:v>
      </x:c>
      <x:c r="AB43" s="37" t="str">
        <x:v>review_required</x:v>
      </x:c>
    </x:row>
    <x:row r="44">
      <x:c r="A44" s="37" t="str">
        <x:v>RC-0043</x:v>
      </x:c>
      <x:c r="B44" s="37" t="str">
        <x:v>perk_entry_point</x:v>
      </x:c>
      <x:c r="C44" s="37" t="str">
        <x:v>observed_pattern</x:v>
      </x:c>
      <x:c r="D44" s="37" t="str">
        <x:v>repeated_implementation_profile</x:v>
      </x:c>
      <x:c r="E44" s="37" t="str">
        <x:v>Adamant</x:v>
      </x:c>
      <x:c r="F44" s="37" t="str">
        <x:v>Adamant.esp</x:v>
      </x:c>
      <x:c r="G44" s="37" t="str">
        <x:v>main</x:v>
      </x:c>
      <x:c r="H44" s="38" t="str">
        <x:v>Within Adamant.esp, the perk_entry_point implementation repeatedly uses: Calculate My Critical Hit Damage | Multiply Value | float; observed center: 1.0</x:v>
      </x:c>
      <x:c r="I44" s="37" t="str">
        <x:v>4</x:v>
      </x:c>
      <x:c r="J44" s="37" t="str">
        <x:v>observed_patterns:perk_entry_point:Calculate My Critical Hit Damage | Multiply Value | float</x:v>
      </x:c>
      <x:c r="K44" s="37" t="str">
        <x:v>descriptive_frequency</x:v>
      </x:c>
      <x:c r="L44" s="37" t="str">
        <x:v>mixed_or_external_missing</x:v>
      </x:c>
      <x:c r="M44" s="37" t="str">
        <x:v>alternative_profiles_present</x:v>
      </x:c>
      <x:c r="N44" s="37" t="str">
        <x:v>39</x:v>
      </x:c>
      <x:c r="O44" s="37" t="str"/>
      <x:c r="P44" s="37" t="str">
        <x:v>36</x:v>
      </x:c>
      <x:c r="Q44" s="37" t="str">
        <x:v>low</x:v>
      </x:c>
      <x:c r="R44" s="37" t="str">
        <x:v>review_required</x:v>
      </x:c>
      <x:c r="S44" s="37" t="str">
        <x:v>False</x:v>
      </x:c>
      <x:c r="T44" s="38" t="str">
        <x:v>Do not promote without scope review, exception review, and author-intent/baseline corroboration.</x:v>
      </x:c>
      <x:c r="U44" s="37" t="str">
        <x:v>55</x:v>
      </x:c>
      <x:c r="V44" s="37" t="str">
        <x:v>medium</x:v>
      </x:c>
      <x:c r="W44" s="37" t="str">
        <x:v>43</x:v>
      </x:c>
      <x:c r="X44" s="37" t="str">
        <x:v>low</x:v>
      </x:c>
      <x:c r="Y44" s="37" t="str">
        <x:v>40</x:v>
      </x:c>
      <x:c r="Z44" s="37" t="str">
        <x:v>low</x:v>
      </x:c>
      <x:c r="AA44" s="38" t="str">
        <x:v>alternative_profiles_present;baseline_incomplete</x:v>
      </x:c>
      <x:c r="AB44" s="37" t="str">
        <x:v>review_required</x:v>
      </x:c>
    </x:row>
    <x:row r="45">
      <x:c r="A45" s="37" t="str">
        <x:v>RC-0044</x:v>
      </x:c>
      <x:c r="B45" s="37" t="str">
        <x:v>perk_entry_point</x:v>
      </x:c>
      <x:c r="C45" s="37" t="str">
        <x:v>observed_pattern</x:v>
      </x:c>
      <x:c r="D45" s="37" t="str">
        <x:v>repeated_implementation_profile</x:v>
      </x:c>
      <x:c r="E45" s="37" t="str">
        <x:v>Adamant</x:v>
      </x:c>
      <x:c r="F45" s="37" t="str">
        <x:v>Adamant.esp</x:v>
      </x:c>
      <x:c r="G45" s="37" t="str">
        <x:v>main</x:v>
      </x:c>
      <x:c r="H45" s="38" t="str">
        <x:v>Within Adamant.esp, the perk_entry_point implementation repeatedly uses: Mod Alchemy Effectiveness | Multiply Value | float; observed center: 1.5</x:v>
      </x:c>
      <x:c r="I45" s="37" t="str">
        <x:v>9</x:v>
      </x:c>
      <x:c r="J45" s="37" t="str">
        <x:v>observed_patterns:perk_entry_point:Mod Alchemy Effectiveness | Multiply Value | float</x:v>
      </x:c>
      <x:c r="K45" s="37" t="str">
        <x:v>descriptive_frequency</x:v>
      </x:c>
      <x:c r="L45" s="37" t="str">
        <x:v>mixed_or_external_missing</x:v>
      </x:c>
      <x:c r="M45" s="37" t="str">
        <x:v>alternative_profiles_present</x:v>
      </x:c>
      <x:c r="N45" s="37" t="str">
        <x:v>39</x:v>
      </x:c>
      <x:c r="O45" s="37" t="str"/>
      <x:c r="P45" s="37" t="str">
        <x:v>42</x:v>
      </x:c>
      <x:c r="Q45" s="37" t="str">
        <x:v>low</x:v>
      </x:c>
      <x:c r="R45" s="37" t="str">
        <x:v>review_required</x:v>
      </x:c>
      <x:c r="S45" s="37" t="str">
        <x:v>False</x:v>
      </x:c>
      <x:c r="T45" s="38" t="str">
        <x:v>Do not promote without scope review, exception review, and author-intent/baseline corroboration.</x:v>
      </x:c>
      <x:c r="U45" s="37" t="str">
        <x:v>62</x:v>
      </x:c>
      <x:c r="V45" s="37" t="str">
        <x:v>medium</x:v>
      </x:c>
      <x:c r="W45" s="37" t="str">
        <x:v>43</x:v>
      </x:c>
      <x:c r="X45" s="37" t="str">
        <x:v>low</x:v>
      </x:c>
      <x:c r="Y45" s="37" t="str">
        <x:v>43</x:v>
      </x:c>
      <x:c r="Z45" s="37" t="str">
        <x:v>low</x:v>
      </x:c>
      <x:c r="AA45" s="38" t="str">
        <x:v>alternative_profiles_present;baseline_incomplete</x:v>
      </x:c>
      <x:c r="AB45" s="37" t="str">
        <x:v>review_required</x:v>
      </x:c>
    </x:row>
    <x:row r="46">
      <x:c r="A46" s="37" t="str">
        <x:v>RC-0045</x:v>
      </x:c>
      <x:c r="B46" s="37" t="str">
        <x:v>perk_entry_point</x:v>
      </x:c>
      <x:c r="C46" s="37" t="str">
        <x:v>observed_pattern</x:v>
      </x:c>
      <x:c r="D46" s="37" t="str">
        <x:v>repeated_implementation_profile</x:v>
      </x:c>
      <x:c r="E46" s="37" t="str">
        <x:v>Adamant</x:v>
      </x:c>
      <x:c r="F46" s="37" t="str">
        <x:v>Adamant.esp</x:v>
      </x:c>
      <x:c r="G46" s="37" t="str">
        <x:v>main</x:v>
      </x:c>
      <x:c r="H46" s="38" t="str">
        <x:v>Within Adamant.esp, the perk_entry_point implementation repeatedly uses: Mod Armor Rating | Multiply Value | float; observed center: 1.25</x:v>
      </x:c>
      <x:c r="I46" s="37" t="str">
        <x:v>6</x:v>
      </x:c>
      <x:c r="J46" s="37" t="str">
        <x:v>observed_patterns:perk_entry_point:Mod Armor Rating | Multiply Value | float</x:v>
      </x:c>
      <x:c r="K46" s="37" t="str">
        <x:v>descriptive_frequency</x:v>
      </x:c>
      <x:c r="L46" s="37" t="str">
        <x:v>mixed_or_external_missing</x:v>
      </x:c>
      <x:c r="M46" s="37" t="str">
        <x:v>alternative_profiles_present</x:v>
      </x:c>
      <x:c r="N46" s="37" t="str">
        <x:v>39</x:v>
      </x:c>
      <x:c r="O46" s="37" t="str"/>
      <x:c r="P46" s="37" t="str">
        <x:v>42</x:v>
      </x:c>
      <x:c r="Q46" s="37" t="str">
        <x:v>low</x:v>
      </x:c>
      <x:c r="R46" s="37" t="str">
        <x:v>review_required</x:v>
      </x:c>
      <x:c r="S46" s="37" t="str">
        <x:v>False</x:v>
      </x:c>
      <x:c r="T46" s="38" t="str">
        <x:v>Do not promote without scope review, exception review, and author-intent/baseline corroboration.</x:v>
      </x:c>
      <x:c r="U46" s="37" t="str">
        <x:v>62</x:v>
      </x:c>
      <x:c r="V46" s="37" t="str">
        <x:v>medium</x:v>
      </x:c>
      <x:c r="W46" s="37" t="str">
        <x:v>43</x:v>
      </x:c>
      <x:c r="X46" s="37" t="str">
        <x:v>low</x:v>
      </x:c>
      <x:c r="Y46" s="37" t="str">
        <x:v>43</x:v>
      </x:c>
      <x:c r="Z46" s="37" t="str">
        <x:v>low</x:v>
      </x:c>
      <x:c r="AA46" s="38" t="str">
        <x:v>alternative_profiles_present;baseline_incomplete</x:v>
      </x:c>
      <x:c r="AB46" s="37" t="str">
        <x:v>review_required</x:v>
      </x:c>
    </x:row>
    <x:row r="47">
      <x:c r="A47" s="37" t="str">
        <x:v>RC-0046</x:v>
      </x:c>
      <x:c r="B47" s="37" t="str">
        <x:v>perk_entry_point</x:v>
      </x:c>
      <x:c r="C47" s="37" t="str">
        <x:v>observed_pattern</x:v>
      </x:c>
      <x:c r="D47" s="37" t="str">
        <x:v>repeated_implementation_profile</x:v>
      </x:c>
      <x:c r="E47" s="37" t="str">
        <x:v>Adamant</x:v>
      </x:c>
      <x:c r="F47" s="37" t="str">
        <x:v>Adamant.esp</x:v>
      </x:c>
      <x:c r="G47" s="37" t="str">
        <x:v>main</x:v>
      </x:c>
      <x:c r="H47" s="38" t="str">
        <x:v>Within Adamant.esp, the perk_entry_point implementation repeatedly uses: Mod Armor Weight | Multiply Value | float; observed center: 0.25</x:v>
      </x:c>
      <x:c r="I47" s="37" t="str">
        <x:v>4</x:v>
      </x:c>
      <x:c r="J47" s="37" t="str">
        <x:v>observed_patterns:perk_entry_point:Mod Armor Weight | Multiply Value | float</x:v>
      </x:c>
      <x:c r="K47" s="37" t="str">
        <x:v>descriptive_frequency</x:v>
      </x:c>
      <x:c r="L47" s="37" t="str">
        <x:v>mixed_or_external_missing</x:v>
      </x:c>
      <x:c r="M47" s="37" t="str">
        <x:v>alternative_profiles_present</x:v>
      </x:c>
      <x:c r="N47" s="37" t="str">
        <x:v>39</x:v>
      </x:c>
      <x:c r="O47" s="37" t="str"/>
      <x:c r="P47" s="37" t="str">
        <x:v>36</x:v>
      </x:c>
      <x:c r="Q47" s="37" t="str">
        <x:v>low</x:v>
      </x:c>
      <x:c r="R47" s="37" t="str">
        <x:v>review_required</x:v>
      </x:c>
      <x:c r="S47" s="37" t="str">
        <x:v>False</x:v>
      </x:c>
      <x:c r="T47" s="38" t="str">
        <x:v>Do not promote without scope review, exception review, and author-intent/baseline corroboration.</x:v>
      </x:c>
      <x:c r="U47" s="37" t="str">
        <x:v>55</x:v>
      </x:c>
      <x:c r="V47" s="37" t="str">
        <x:v>medium</x:v>
      </x:c>
      <x:c r="W47" s="37" t="str">
        <x:v>43</x:v>
      </x:c>
      <x:c r="X47" s="37" t="str">
        <x:v>low</x:v>
      </x:c>
      <x:c r="Y47" s="37" t="str">
        <x:v>40</x:v>
      </x:c>
      <x:c r="Z47" s="37" t="str">
        <x:v>low</x:v>
      </x:c>
      <x:c r="AA47" s="38" t="str">
        <x:v>alternative_profiles_present;baseline_incomplete</x:v>
      </x:c>
      <x:c r="AB47" s="37" t="str">
        <x:v>review_required</x:v>
      </x:c>
    </x:row>
    <x:row r="48">
      <x:c r="A48" s="37" t="str">
        <x:v>RC-0047</x:v>
      </x:c>
      <x:c r="B48" s="37" t="str">
        <x:v>perk_entry_point</x:v>
      </x:c>
      <x:c r="C48" s="37" t="str">
        <x:v>observed_pattern</x:v>
      </x:c>
      <x:c r="D48" s="37" t="str">
        <x:v>repeated_implementation_profile</x:v>
      </x:c>
      <x:c r="E48" s="37" t="str">
        <x:v>Adamant</x:v>
      </x:c>
      <x:c r="F48" s="37" t="str">
        <x:v>Adamant.esp</x:v>
      </x:c>
      <x:c r="G48" s="37" t="str">
        <x:v>main</x:v>
      </x:c>
      <x:c r="H48" s="38" t="str">
        <x:v>Within Adamant.esp, the perk_entry_point implementation repeatedly uses: Mod Attack Damage | Multiply 1 + Actor Value Mult | actor_value_float; observed center: 0.009999999776482582</x:v>
      </x:c>
      <x:c r="I48" s="37" t="str">
        <x:v>5</x:v>
      </x:c>
      <x:c r="J48" s="37" t="str">
        <x:v>observed_patterns:perk_entry_point:Mod Attack Damage | Multiply 1 + Actor Value Mult | actor_value_float</x:v>
      </x:c>
      <x:c r="K48" s="37" t="str">
        <x:v>descriptive_frequency</x:v>
      </x:c>
      <x:c r="L48" s="37" t="str">
        <x:v>mixed_or_external_missing</x:v>
      </x:c>
      <x:c r="M48" s="37" t="str">
        <x:v>alternative_profiles_present</x:v>
      </x:c>
      <x:c r="N48" s="37" t="str">
        <x:v>39</x:v>
      </x:c>
      <x:c r="O48" s="37" t="str"/>
      <x:c r="P48" s="37" t="str">
        <x:v>42</x:v>
      </x:c>
      <x:c r="Q48" s="37" t="str">
        <x:v>low</x:v>
      </x:c>
      <x:c r="R48" s="37" t="str">
        <x:v>review_required</x:v>
      </x:c>
      <x:c r="S48" s="37" t="str">
        <x:v>False</x:v>
      </x:c>
      <x:c r="T48" s="38" t="str">
        <x:v>Do not promote without scope review, exception review, and author-intent/baseline corroboration.</x:v>
      </x:c>
      <x:c r="U48" s="37" t="str">
        <x:v>62</x:v>
      </x:c>
      <x:c r="V48" s="37" t="str">
        <x:v>medium</x:v>
      </x:c>
      <x:c r="W48" s="37" t="str">
        <x:v>43</x:v>
      </x:c>
      <x:c r="X48" s="37" t="str">
        <x:v>low</x:v>
      </x:c>
      <x:c r="Y48" s="37" t="str">
        <x:v>43</x:v>
      </x:c>
      <x:c r="Z48" s="37" t="str">
        <x:v>low</x:v>
      </x:c>
      <x:c r="AA48" s="38" t="str">
        <x:v>alternative_profiles_present;baseline_incomplete</x:v>
      </x:c>
      <x:c r="AB48" s="37" t="str">
        <x:v>review_required</x:v>
      </x:c>
    </x:row>
    <x:row r="49">
      <x:c r="A49" s="37" t="str">
        <x:v>RC-0048</x:v>
      </x:c>
      <x:c r="B49" s="37" t="str">
        <x:v>perk_entry_point</x:v>
      </x:c>
      <x:c r="C49" s="37" t="str">
        <x:v>observed_pattern</x:v>
      </x:c>
      <x:c r="D49" s="37" t="str">
        <x:v>repeated_implementation_profile</x:v>
      </x:c>
      <x:c r="E49" s="37" t="str">
        <x:v>Adamant</x:v>
      </x:c>
      <x:c r="F49" s="37" t="str">
        <x:v>Adamant.esp</x:v>
      </x:c>
      <x:c r="G49" s="37" t="str">
        <x:v>main</x:v>
      </x:c>
      <x:c r="H49" s="38" t="str">
        <x:v>Within Adamant.esp, the perk_entry_point implementation repeatedly uses: Mod Attack Damage | Multiply Value | float; observed center: 1.2099999785423279</x:v>
      </x:c>
      <x:c r="I49" s="37" t="str">
        <x:v>14</x:v>
      </x:c>
      <x:c r="J49" s="37" t="str">
        <x:v>observed_patterns:perk_entry_point:Mod Attack Damage | Multiply Value | float</x:v>
      </x:c>
      <x:c r="K49" s="37" t="str">
        <x:v>descriptive_frequency</x:v>
      </x:c>
      <x:c r="L49" s="37" t="str">
        <x:v>mixed_or_external_missing</x:v>
      </x:c>
      <x:c r="M49" s="37" t="str">
        <x:v>alternative_profiles_present</x:v>
      </x:c>
      <x:c r="N49" s="37" t="str">
        <x:v>39</x:v>
      </x:c>
      <x:c r="O49" s="37" t="str"/>
      <x:c r="P49" s="37" t="str">
        <x:v>48</x:v>
      </x:c>
      <x:c r="Q49" s="37" t="str">
        <x:v>low</x:v>
      </x:c>
      <x:c r="R49" s="37" t="str">
        <x:v>review_required</x:v>
      </x:c>
      <x:c r="S49" s="37" t="str">
        <x:v>False</x:v>
      </x:c>
      <x:c r="T49" s="38" t="str">
        <x:v>Do not promote without scope review, exception review, and author-intent/baseline corroboration.</x:v>
      </x:c>
      <x:c r="U49" s="37" t="str">
        <x:v>70</x:v>
      </x:c>
      <x:c r="V49" s="37" t="str">
        <x:v>medium</x:v>
      </x:c>
      <x:c r="W49" s="37" t="str">
        <x:v>43</x:v>
      </x:c>
      <x:c r="X49" s="37" t="str">
        <x:v>low</x:v>
      </x:c>
      <x:c r="Y49" s="37" t="str">
        <x:v>48</x:v>
      </x:c>
      <x:c r="Z49" s="37" t="str">
        <x:v>low</x:v>
      </x:c>
      <x:c r="AA49" s="38" t="str">
        <x:v>alternative_profiles_present;baseline_incomplete</x:v>
      </x:c>
      <x:c r="AB49" s="37" t="str">
        <x:v>review_required</x:v>
      </x:c>
    </x:row>
    <x:row r="50">
      <x:c r="A50" s="37" t="str">
        <x:v>RC-0049</x:v>
      </x:c>
      <x:c r="B50" s="37" t="str">
        <x:v>perk_entry_point</x:v>
      </x:c>
      <x:c r="C50" s="37" t="str">
        <x:v>observed_pattern</x:v>
      </x:c>
      <x:c r="D50" s="37" t="str">
        <x:v>repeated_implementation_profile</x:v>
      </x:c>
      <x:c r="E50" s="37" t="str">
        <x:v>Adamant</x:v>
      </x:c>
      <x:c r="F50" s="37" t="str">
        <x:v>Adamant.esp</x:v>
      </x:c>
      <x:c r="G50" s="37" t="str">
        <x:v>main</x:v>
      </x:c>
      <x:c r="H50" s="38" t="str">
        <x:v>Within Adamant.esp, the perk_entry_point implementation repeatedly uses: Mod Bashing Damage | Multiply Value | float; observed center: 1.340000033378601</x:v>
      </x:c>
      <x:c r="I50" s="37" t="str">
        <x:v>5</x:v>
      </x:c>
      <x:c r="J50" s="37" t="str">
        <x:v>observed_patterns:perk_entry_point:Mod Bashing Damage | Multiply Value | float</x:v>
      </x:c>
      <x:c r="K50" s="37" t="str">
        <x:v>descriptive_frequency</x:v>
      </x:c>
      <x:c r="L50" s="37" t="str">
        <x:v>mixed_or_external_missing</x:v>
      </x:c>
      <x:c r="M50" s="37" t="str">
        <x:v>alternative_profiles_present</x:v>
      </x:c>
      <x:c r="N50" s="37" t="str">
        <x:v>39</x:v>
      </x:c>
      <x:c r="O50" s="37" t="str"/>
      <x:c r="P50" s="37" t="str">
        <x:v>42</x:v>
      </x:c>
      <x:c r="Q50" s="37" t="str">
        <x:v>low</x:v>
      </x:c>
      <x:c r="R50" s="37" t="str">
        <x:v>review_required</x:v>
      </x:c>
      <x:c r="S50" s="37" t="str">
        <x:v>False</x:v>
      </x:c>
      <x:c r="T50" s="38" t="str">
        <x:v>Do not promote without scope review, exception review, and author-intent/baseline corroboration.</x:v>
      </x:c>
      <x:c r="U50" s="37" t="str">
        <x:v>62</x:v>
      </x:c>
      <x:c r="V50" s="37" t="str">
        <x:v>medium</x:v>
      </x:c>
      <x:c r="W50" s="37" t="str">
        <x:v>43</x:v>
      </x:c>
      <x:c r="X50" s="37" t="str">
        <x:v>low</x:v>
      </x:c>
      <x:c r="Y50" s="37" t="str">
        <x:v>43</x:v>
      </x:c>
      <x:c r="Z50" s="37" t="str">
        <x:v>low</x:v>
      </x:c>
      <x:c r="AA50" s="38" t="str">
        <x:v>alternative_profiles_present;baseline_incomplete</x:v>
      </x:c>
      <x:c r="AB50" s="37" t="str">
        <x:v>review_required</x:v>
      </x:c>
    </x:row>
    <x:row r="51">
      <x:c r="A51" s="37" t="str">
        <x:v>RC-0050</x:v>
      </x:c>
      <x:c r="B51" s="37" t="str">
        <x:v>perk_entry_point</x:v>
      </x:c>
      <x:c r="C51" s="37" t="str">
        <x:v>observed_pattern</x:v>
      </x:c>
      <x:c r="D51" s="37" t="str">
        <x:v>repeated_implementation_profile</x:v>
      </x:c>
      <x:c r="E51" s="37" t="str">
        <x:v>Adamant</x:v>
      </x:c>
      <x:c r="F51" s="37" t="str">
        <x:v>Adamant.esp</x:v>
      </x:c>
      <x:c r="G51" s="37" t="str">
        <x:v>main</x:v>
      </x:c>
      <x:c r="H51" s="38" t="str">
        <x:v>Within Adamant.esp, the perk_entry_point implementation repeatedly uses: Mod Bow Zoom | Add Value | float; observed center: 0.20000000298023224</x:v>
      </x:c>
      <x:c r="I51" s="37" t="str">
        <x:v>5</x:v>
      </x:c>
      <x:c r="J51" s="37" t="str">
        <x:v>observed_patterns:perk_entry_point:Mod Bow Zoom | Add Value | float</x:v>
      </x:c>
      <x:c r="K51" s="37" t="str">
        <x:v>descriptive_frequency</x:v>
      </x:c>
      <x:c r="L51" s="37" t="str">
        <x:v>mixed_or_external_missing</x:v>
      </x:c>
      <x:c r="M51" s="37" t="str">
        <x:v>alternative_profiles_present</x:v>
      </x:c>
      <x:c r="N51" s="37" t="str">
        <x:v>39</x:v>
      </x:c>
      <x:c r="O51" s="37" t="str"/>
      <x:c r="P51" s="37" t="str">
        <x:v>42</x:v>
      </x:c>
      <x:c r="Q51" s="37" t="str">
        <x:v>low</x:v>
      </x:c>
      <x:c r="R51" s="37" t="str">
        <x:v>review_required</x:v>
      </x:c>
      <x:c r="S51" s="37" t="str">
        <x:v>False</x:v>
      </x:c>
      <x:c r="T51" s="38" t="str">
        <x:v>Do not promote without scope review, exception review, and author-intent/baseline corroboration.</x:v>
      </x:c>
      <x:c r="U51" s="37" t="str">
        <x:v>62</x:v>
      </x:c>
      <x:c r="V51" s="37" t="str">
        <x:v>medium</x:v>
      </x:c>
      <x:c r="W51" s="37" t="str">
        <x:v>43</x:v>
      </x:c>
      <x:c r="X51" s="37" t="str">
        <x:v>low</x:v>
      </x:c>
      <x:c r="Y51" s="37" t="str">
        <x:v>43</x:v>
      </x:c>
      <x:c r="Z51" s="37" t="str">
        <x:v>low</x:v>
      </x:c>
      <x:c r="AA51" s="38" t="str">
        <x:v>alternative_profiles_present;baseline_incomplete</x:v>
      </x:c>
      <x:c r="AB51" s="37" t="str">
        <x:v>review_required</x:v>
      </x:c>
    </x:row>
    <x:row r="52">
      <x:c r="A52" s="37" t="str">
        <x:v>RC-0051</x:v>
      </x:c>
      <x:c r="B52" s="37" t="str">
        <x:v>perk_entry_point</x:v>
      </x:c>
      <x:c r="C52" s="37" t="str">
        <x:v>observed_pattern</x:v>
      </x:c>
      <x:c r="D52" s="37" t="str">
        <x:v>repeated_implementation_profile</x:v>
      </x:c>
      <x:c r="E52" s="37" t="str">
        <x:v>Adamant</x:v>
      </x:c>
      <x:c r="F52" s="37" t="str">
        <x:v>Adamant.esp</x:v>
      </x:c>
      <x:c r="G52" s="37" t="str">
        <x:v>main</x:v>
      </x:c>
      <x:c r="H52" s="38" t="str">
        <x:v>Within Adamant.esp, the perk_entry_point implementation repeatedly uses: Mod Buy Prices | Multiply Value | float; observed center: 0.800000011920929</x:v>
      </x:c>
      <x:c r="I52" s="37" t="str">
        <x:v>3</x:v>
      </x:c>
      <x:c r="J52" s="37" t="str">
        <x:v>observed_patterns:perk_entry_point:Mod Buy Prices | Multiply Value | float</x:v>
      </x:c>
      <x:c r="K52" s="37" t="str">
        <x:v>descriptive_frequency</x:v>
      </x:c>
      <x:c r="L52" s="37" t="str">
        <x:v>mixed_or_external_missing</x:v>
      </x:c>
      <x:c r="M52" s="37" t="str">
        <x:v>alternative_profiles_present</x:v>
      </x:c>
      <x:c r="N52" s="37" t="str">
        <x:v>39</x:v>
      </x:c>
      <x:c r="O52" s="37" t="str"/>
      <x:c r="P52" s="37" t="str">
        <x:v>36</x:v>
      </x:c>
      <x:c r="Q52" s="37" t="str">
        <x:v>low</x:v>
      </x:c>
      <x:c r="R52" s="37" t="str">
        <x:v>review_required</x:v>
      </x:c>
      <x:c r="S52" s="37" t="str">
        <x:v>False</x:v>
      </x:c>
      <x:c r="T52" s="38" t="str">
        <x:v>Do not promote without scope review, exception review, and author-intent/baseline corroboration.</x:v>
      </x:c>
      <x:c r="U52" s="37" t="str">
        <x:v>55</x:v>
      </x:c>
      <x:c r="V52" s="37" t="str">
        <x:v>medium</x:v>
      </x:c>
      <x:c r="W52" s="37" t="str">
        <x:v>43</x:v>
      </x:c>
      <x:c r="X52" s="37" t="str">
        <x:v>low</x:v>
      </x:c>
      <x:c r="Y52" s="37" t="str">
        <x:v>40</x:v>
      </x:c>
      <x:c r="Z52" s="37" t="str">
        <x:v>low</x:v>
      </x:c>
      <x:c r="AA52" s="38" t="str">
        <x:v>alternative_profiles_present;baseline_incomplete</x:v>
      </x:c>
      <x:c r="AB52" s="37" t="str">
        <x:v>review_required</x:v>
      </x:c>
    </x:row>
    <x:row r="53">
      <x:c r="A53" s="37" t="str">
        <x:v>RC-0052</x:v>
      </x:c>
      <x:c r="B53" s="37" t="str">
        <x:v>perk_entry_point</x:v>
      </x:c>
      <x:c r="C53" s="37" t="str">
        <x:v>observed_pattern</x:v>
      </x:c>
      <x:c r="D53" s="37" t="str">
        <x:v>repeated_implementation_profile</x:v>
      </x:c>
      <x:c r="E53" s="37" t="str">
        <x:v>Adamant</x:v>
      </x:c>
      <x:c r="F53" s="37" t="str">
        <x:v>Adamant.esp</x:v>
      </x:c>
      <x:c r="G53" s="37" t="str">
        <x:v>main</x:v>
      </x:c>
      <x:c r="H53" s="38" t="str">
        <x:v>Within Adamant.esp, the perk_entry_point implementation repeatedly uses: Mod Commanded Actor Limit | Add Value | float; observed center: 1.0</x:v>
      </x:c>
      <x:c r="I53" s="37" t="str">
        <x:v>4</x:v>
      </x:c>
      <x:c r="J53" s="37" t="str">
        <x:v>observed_patterns:perk_entry_point:Mod Commanded Actor Limit | Add Value | float</x:v>
      </x:c>
      <x:c r="K53" s="37" t="str">
        <x:v>descriptive_frequency</x:v>
      </x:c>
      <x:c r="L53" s="37" t="str">
        <x:v>mixed_or_external_missing</x:v>
      </x:c>
      <x:c r="M53" s="37" t="str">
        <x:v>alternative_profiles_present</x:v>
      </x:c>
      <x:c r="N53" s="37" t="str">
        <x:v>39</x:v>
      </x:c>
      <x:c r="O53" s="37" t="str"/>
      <x:c r="P53" s="37" t="str">
        <x:v>36</x:v>
      </x:c>
      <x:c r="Q53" s="37" t="str">
        <x:v>low</x:v>
      </x:c>
      <x:c r="R53" s="37" t="str">
        <x:v>review_required</x:v>
      </x:c>
      <x:c r="S53" s="37" t="str">
        <x:v>False</x:v>
      </x:c>
      <x:c r="T53" s="38" t="str">
        <x:v>Do not promote without scope review, exception review, and author-intent/baseline corroboration.</x:v>
      </x:c>
      <x:c r="U53" s="37" t="str">
        <x:v>55</x:v>
      </x:c>
      <x:c r="V53" s="37" t="str">
        <x:v>medium</x:v>
      </x:c>
      <x:c r="W53" s="37" t="str">
        <x:v>43</x:v>
      </x:c>
      <x:c r="X53" s="37" t="str">
        <x:v>low</x:v>
      </x:c>
      <x:c r="Y53" s="37" t="str">
        <x:v>40</x:v>
      </x:c>
      <x:c r="Z53" s="37" t="str">
        <x:v>low</x:v>
      </x:c>
      <x:c r="AA53" s="38" t="str">
        <x:v>alternative_profiles_present;baseline_incomplete</x:v>
      </x:c>
      <x:c r="AB53" s="37" t="str">
        <x:v>review_required</x:v>
      </x:c>
    </x:row>
    <x:row r="54">
      <x:c r="A54" s="37" t="str">
        <x:v>RC-0053</x:v>
      </x:c>
      <x:c r="B54" s="37" t="str">
        <x:v>perk_entry_point</x:v>
      </x:c>
      <x:c r="C54" s="37" t="str">
        <x:v>observed_pattern</x:v>
      </x:c>
      <x:c r="D54" s="37" t="str">
        <x:v>repeated_implementation_profile</x:v>
      </x:c>
      <x:c r="E54" s="37" t="str">
        <x:v>Adamant</x:v>
      </x:c>
      <x:c r="F54" s="37" t="str">
        <x:v>Adamant.esp</x:v>
      </x:c>
      <x:c r="G54" s="37" t="str">
        <x:v>main</x:v>
      </x:c>
      <x:c r="H54" s="38" t="str">
        <x:v>Within Adamant.esp, the perk_entry_point implementation repeatedly uses: Mod Detection Sneak Skill | Add Value | float; observed center: 40.0</x:v>
      </x:c>
      <x:c r="I54" s="37" t="str">
        <x:v>5</x:v>
      </x:c>
      <x:c r="J54" s="37" t="str">
        <x:v>observed_patterns:perk_entry_point:Mod Detection Sneak Skill | Add Value | float</x:v>
      </x:c>
      <x:c r="K54" s="37" t="str">
        <x:v>descriptive_frequency</x:v>
      </x:c>
      <x:c r="L54" s="37" t="str">
        <x:v>mixed_or_external_missing</x:v>
      </x:c>
      <x:c r="M54" s="37" t="str">
        <x:v>alternative_profiles_present</x:v>
      </x:c>
      <x:c r="N54" s="37" t="str">
        <x:v>39</x:v>
      </x:c>
      <x:c r="O54" s="37" t="str"/>
      <x:c r="P54" s="37" t="str">
        <x:v>42</x:v>
      </x:c>
      <x:c r="Q54" s="37" t="str">
        <x:v>low</x:v>
      </x:c>
      <x:c r="R54" s="37" t="str">
        <x:v>review_required</x:v>
      </x:c>
      <x:c r="S54" s="37" t="str">
        <x:v>False</x:v>
      </x:c>
      <x:c r="T54" s="38" t="str">
        <x:v>Do not promote without scope review, exception review, and author-intent/baseline corroboration.</x:v>
      </x:c>
      <x:c r="U54" s="37" t="str">
        <x:v>62</x:v>
      </x:c>
      <x:c r="V54" s="37" t="str">
        <x:v>medium</x:v>
      </x:c>
      <x:c r="W54" s="37" t="str">
        <x:v>43</x:v>
      </x:c>
      <x:c r="X54" s="37" t="str">
        <x:v>low</x:v>
      </x:c>
      <x:c r="Y54" s="37" t="str">
        <x:v>43</x:v>
      </x:c>
      <x:c r="Z54" s="37" t="str">
        <x:v>low</x:v>
      </x:c>
      <x:c r="AA54" s="38" t="str">
        <x:v>alternative_profiles_present;baseline_incomplete</x:v>
      </x:c>
      <x:c r="AB54" s="37" t="str">
        <x:v>review_required</x:v>
      </x:c>
    </x:row>
    <x:row r="55">
      <x:c r="A55" s="37" t="str">
        <x:v>RC-0054</x:v>
      </x:c>
      <x:c r="B55" s="37" t="str">
        <x:v>perk_entry_point</x:v>
      </x:c>
      <x:c r="C55" s="37" t="str">
        <x:v>observed_pattern</x:v>
      </x:c>
      <x:c r="D55" s="37" t="str">
        <x:v>repeated_implementation_profile</x:v>
      </x:c>
      <x:c r="E55" s="37" t="str">
        <x:v>Adamant</x:v>
      </x:c>
      <x:c r="F55" s="37" t="str">
        <x:v>Adamant.esp</x:v>
      </x:c>
      <x:c r="G55" s="37" t="str">
        <x:v>main</x:v>
      </x:c>
      <x:c r="H55" s="38" t="str">
        <x:v>Within Adamant.esp, the perk_entry_point implementation repeatedly uses: Mod Enchantment Power | Multiply Value | float; observed center: 1.5</x:v>
      </x:c>
      <x:c r="I55" s="37" t="str">
        <x:v>9</x:v>
      </x:c>
      <x:c r="J55" s="37" t="str">
        <x:v>observed_patterns:perk_entry_point:Mod Enchantment Power | Multiply Value | float</x:v>
      </x:c>
      <x:c r="K55" s="37" t="str">
        <x:v>descriptive_frequency</x:v>
      </x:c>
      <x:c r="L55" s="37" t="str">
        <x:v>mixed_or_external_missing</x:v>
      </x:c>
      <x:c r="M55" s="37" t="str">
        <x:v>alternative_profiles_present</x:v>
      </x:c>
      <x:c r="N55" s="37" t="str">
        <x:v>39</x:v>
      </x:c>
      <x:c r="O55" s="37" t="str"/>
      <x:c r="P55" s="37" t="str">
        <x:v>42</x:v>
      </x:c>
      <x:c r="Q55" s="37" t="str">
        <x:v>low</x:v>
      </x:c>
      <x:c r="R55" s="37" t="str">
        <x:v>review_required</x:v>
      </x:c>
      <x:c r="S55" s="37" t="str">
        <x:v>False</x:v>
      </x:c>
      <x:c r="T55" s="38" t="str">
        <x:v>Do not promote without scope review, exception review, and author-intent/baseline corroboration.</x:v>
      </x:c>
      <x:c r="U55" s="37" t="str">
        <x:v>62</x:v>
      </x:c>
      <x:c r="V55" s="37" t="str">
        <x:v>medium</x:v>
      </x:c>
      <x:c r="W55" s="37" t="str">
        <x:v>43</x:v>
      </x:c>
      <x:c r="X55" s="37" t="str">
        <x:v>low</x:v>
      </x:c>
      <x:c r="Y55" s="37" t="str">
        <x:v>43</x:v>
      </x:c>
      <x:c r="Z55" s="37" t="str">
        <x:v>low</x:v>
      </x:c>
      <x:c r="AA55" s="38" t="str">
        <x:v>alternative_profiles_present;baseline_incomplete</x:v>
      </x:c>
      <x:c r="AB55" s="37" t="str">
        <x:v>review_required</x:v>
      </x:c>
    </x:row>
    <x:row r="56">
      <x:c r="A56" s="37" t="str">
        <x:v>RC-0055</x:v>
      </x:c>
      <x:c r="B56" s="37" t="str">
        <x:v>perk_entry_point</x:v>
      </x:c>
      <x:c r="C56" s="37" t="str">
        <x:v>observed_pattern</x:v>
      </x:c>
      <x:c r="D56" s="37" t="str">
        <x:v>repeated_implementation_profile</x:v>
      </x:c>
      <x:c r="E56" s="37" t="str">
        <x:v>Adamant</x:v>
      </x:c>
      <x:c r="F56" s="37" t="str">
        <x:v>Adamant.esp</x:v>
      </x:c>
      <x:c r="G56" s="37" t="str">
        <x:v>main</x:v>
      </x:c>
      <x:c r="H56" s="38" t="str">
        <x:v>Within Adamant.esp, the perk_entry_point implementation repeatedly uses: Mod Incoming Damage | Multiply Value | float; observed center: 0.6700000166893005</x:v>
      </x:c>
      <x:c r="I56" s="37" t="str">
        <x:v>21</x:v>
      </x:c>
      <x:c r="J56" s="37" t="str">
        <x:v>observed_patterns:perk_entry_point:Mod Incoming Damage | Multiply Value | float</x:v>
      </x:c>
      <x:c r="K56" s="37" t="str">
        <x:v>descriptive_frequency</x:v>
      </x:c>
      <x:c r="L56" s="37" t="str">
        <x:v>mixed_or_external_missing</x:v>
      </x:c>
      <x:c r="M56" s="37" t="str">
        <x:v>alternative_profiles_present</x:v>
      </x:c>
      <x:c r="N56" s="37" t="str">
        <x:v>39</x:v>
      </x:c>
      <x:c r="O56" s="37" t="str"/>
      <x:c r="P56" s="37" t="str">
        <x:v>53</x:v>
      </x:c>
      <x:c r="Q56" s="37" t="str">
        <x:v>medium</x:v>
      </x:c>
      <x:c r="R56" s="37" t="str">
        <x:v>review_required</x:v>
      </x:c>
      <x:c r="S56" s="37" t="str">
        <x:v>False</x:v>
      </x:c>
      <x:c r="T56" s="38" t="str">
        <x:v>Do not promote without scope review, exception review, and author-intent/baseline corroboration.</x:v>
      </x:c>
      <x:c r="U56" s="37" t="str">
        <x:v>80</x:v>
      </x:c>
      <x:c r="V56" s="37" t="str">
        <x:v>high</x:v>
      </x:c>
      <x:c r="W56" s="37" t="str">
        <x:v>43</x:v>
      </x:c>
      <x:c r="X56" s="37" t="str">
        <x:v>low</x:v>
      </x:c>
      <x:c r="Y56" s="37" t="str">
        <x:v>53</x:v>
      </x:c>
      <x:c r="Z56" s="37" t="str">
        <x:v>medium</x:v>
      </x:c>
      <x:c r="AA56" s="38" t="str">
        <x:v>alternative_profiles_present;baseline_incomplete</x:v>
      </x:c>
      <x:c r="AB56" s="37" t="str">
        <x:v>review_required</x:v>
      </x:c>
    </x:row>
    <x:row r="57">
      <x:c r="A57" s="37" t="str">
        <x:v>RC-0056</x:v>
      </x:c>
      <x:c r="B57" s="37" t="str">
        <x:v>perk_entry_point</x:v>
      </x:c>
      <x:c r="C57" s="37" t="str">
        <x:v>observed_pattern</x:v>
      </x:c>
      <x:c r="D57" s="37" t="str">
        <x:v>repeated_implementation_profile</x:v>
      </x:c>
      <x:c r="E57" s="37" t="str">
        <x:v>Adamant</x:v>
      </x:c>
      <x:c r="F57" s="37" t="str">
        <x:v>Adamant.esp</x:v>
      </x:c>
      <x:c r="G57" s="37" t="str">
        <x:v>main</x:v>
      </x:c>
      <x:c r="H57" s="38" t="str">
        <x:v>Within Adamant.esp, the perk_entry_point implementation repeatedly uses: Mod Incoming Spell Duration | Multiply Value | float; observed center: 0.0</x:v>
      </x:c>
      <x:c r="I57" s="37" t="str">
        <x:v>4</x:v>
      </x:c>
      <x:c r="J57" s="37" t="str">
        <x:v>observed_patterns:perk_entry_point:Mod Incoming Spell Duration | Multiply Value | float</x:v>
      </x:c>
      <x:c r="K57" s="37" t="str">
        <x:v>descriptive_frequency</x:v>
      </x:c>
      <x:c r="L57" s="37" t="str">
        <x:v>mixed_or_external_missing</x:v>
      </x:c>
      <x:c r="M57" s="37" t="str">
        <x:v>alternative_profiles_present</x:v>
      </x:c>
      <x:c r="N57" s="37" t="str">
        <x:v>39</x:v>
      </x:c>
      <x:c r="O57" s="37" t="str"/>
      <x:c r="P57" s="37" t="str">
        <x:v>36</x:v>
      </x:c>
      <x:c r="Q57" s="37" t="str">
        <x:v>low</x:v>
      </x:c>
      <x:c r="R57" s="37" t="str">
        <x:v>review_required</x:v>
      </x:c>
      <x:c r="S57" s="37" t="str">
        <x:v>False</x:v>
      </x:c>
      <x:c r="T57" s="38" t="str">
        <x:v>Do not promote without scope review, exception review, and author-intent/baseline corroboration.</x:v>
      </x:c>
      <x:c r="U57" s="37" t="str">
        <x:v>55</x:v>
      </x:c>
      <x:c r="V57" s="37" t="str">
        <x:v>medium</x:v>
      </x:c>
      <x:c r="W57" s="37" t="str">
        <x:v>43</x:v>
      </x:c>
      <x:c r="X57" s="37" t="str">
        <x:v>low</x:v>
      </x:c>
      <x:c r="Y57" s="37" t="str">
        <x:v>40</x:v>
      </x:c>
      <x:c r="Z57" s="37" t="str">
        <x:v>low</x:v>
      </x:c>
      <x:c r="AA57" s="38" t="str">
        <x:v>alternative_profiles_present;baseline_incomplete</x:v>
      </x:c>
      <x:c r="AB57" s="37" t="str">
        <x:v>review_required</x:v>
      </x:c>
    </x:row>
    <x:row r="58">
      <x:c r="A58" s="37" t="str">
        <x:v>RC-0057</x:v>
      </x:c>
      <x:c r="B58" s="37" t="str">
        <x:v>perk_entry_point</x:v>
      </x:c>
      <x:c r="C58" s="37" t="str">
        <x:v>observed_pattern</x:v>
      </x:c>
      <x:c r="D58" s="37" t="str">
        <x:v>repeated_implementation_profile</x:v>
      </x:c>
      <x:c r="E58" s="37" t="str">
        <x:v>Adamant</x:v>
      </x:c>
      <x:c r="F58" s="37" t="str">
        <x:v>Adamant.esp</x:v>
      </x:c>
      <x:c r="G58" s="37" t="str">
        <x:v>main</x:v>
      </x:c>
      <x:c r="H58" s="38" t="str">
        <x:v>Within Adamant.esp, the perk_entry_point implementation repeatedly uses: Mod Incoming Spell Magnitude | Multiply 1 + Actor Value Mult | actor_value_float; observed center: 0.0010000000474974513</x:v>
      </x:c>
      <x:c r="I58" s="37" t="str">
        <x:v>3</x:v>
      </x:c>
      <x:c r="J58" s="37" t="str">
        <x:v>observed_patterns:perk_entry_point:Mod Incoming Spell Magnitude | Multiply 1 + Actor Value Mult | actor_value_float</x:v>
      </x:c>
      <x:c r="K58" s="37" t="str">
        <x:v>descriptive_frequency</x:v>
      </x:c>
      <x:c r="L58" s="37" t="str">
        <x:v>mixed_or_external_missing</x:v>
      </x:c>
      <x:c r="M58" s="37" t="str">
        <x:v>alternative_profiles_present</x:v>
      </x:c>
      <x:c r="N58" s="37" t="str">
        <x:v>39</x:v>
      </x:c>
      <x:c r="O58" s="37" t="str"/>
      <x:c r="P58" s="37" t="str">
        <x:v>36</x:v>
      </x:c>
      <x:c r="Q58" s="37" t="str">
        <x:v>low</x:v>
      </x:c>
      <x:c r="R58" s="37" t="str">
        <x:v>review_required</x:v>
      </x:c>
      <x:c r="S58" s="37" t="str">
        <x:v>False</x:v>
      </x:c>
      <x:c r="T58" s="38" t="str">
        <x:v>Do not promote without scope review, exception review, and author-intent/baseline corroboration.</x:v>
      </x:c>
      <x:c r="U58" s="37" t="str">
        <x:v>55</x:v>
      </x:c>
      <x:c r="V58" s="37" t="str">
        <x:v>medium</x:v>
      </x:c>
      <x:c r="W58" s="37" t="str">
        <x:v>43</x:v>
      </x:c>
      <x:c r="X58" s="37" t="str">
        <x:v>low</x:v>
      </x:c>
      <x:c r="Y58" s="37" t="str">
        <x:v>40</x:v>
      </x:c>
      <x:c r="Z58" s="37" t="str">
        <x:v>low</x:v>
      </x:c>
      <x:c r="AA58" s="38" t="str">
        <x:v>alternative_profiles_present;baseline_incomplete</x:v>
      </x:c>
      <x:c r="AB58" s="37" t="str">
        <x:v>review_required</x:v>
      </x:c>
    </x:row>
    <x:row r="59">
      <x:c r="A59" s="37" t="str">
        <x:v>RC-0058</x:v>
      </x:c>
      <x:c r="B59" s="37" t="str">
        <x:v>perk_entry_point</x:v>
      </x:c>
      <x:c r="C59" s="37" t="str">
        <x:v>observed_pattern</x:v>
      </x:c>
      <x:c r="D59" s="37" t="str">
        <x:v>repeated_implementation_profile</x:v>
      </x:c>
      <x:c r="E59" s="37" t="str">
        <x:v>Adamant</x:v>
      </x:c>
      <x:c r="F59" s="37" t="str">
        <x:v>Adamant.esp</x:v>
      </x:c>
      <x:c r="G59" s="37" t="str">
        <x:v>main</x:v>
      </x:c>
      <x:c r="H59" s="38" t="str">
        <x:v>Within Adamant.esp, the perk_entry_point implementation repeatedly uses: Mod Incoming Spell Magnitude | Multiply Value | float; observed center: 0.5</x:v>
      </x:c>
      <x:c r="I59" s="37" t="str">
        <x:v>48</x:v>
      </x:c>
      <x:c r="J59" s="37" t="str">
        <x:v>observed_patterns:perk_entry_point:Mod Incoming Spell Magnitude | Multiply Value | float</x:v>
      </x:c>
      <x:c r="K59" s="37" t="str">
        <x:v>descriptive_frequency</x:v>
      </x:c>
      <x:c r="L59" s="37" t="str">
        <x:v>mixed_or_external_missing</x:v>
      </x:c>
      <x:c r="M59" s="37" t="str">
        <x:v>alternative_profiles_present</x:v>
      </x:c>
      <x:c r="N59" s="37" t="str">
        <x:v>39</x:v>
      </x:c>
      <x:c r="O59" s="37" t="str"/>
      <x:c r="P59" s="37" t="str">
        <x:v>53</x:v>
      </x:c>
      <x:c r="Q59" s="37" t="str">
        <x:v>medium</x:v>
      </x:c>
      <x:c r="R59" s="37" t="str">
        <x:v>review_required</x:v>
      </x:c>
      <x:c r="S59" s="37" t="str">
        <x:v>False</x:v>
      </x:c>
      <x:c r="T59" s="38" t="str">
        <x:v>Do not promote without scope review, exception review, and author-intent/baseline corroboration.</x:v>
      </x:c>
      <x:c r="U59" s="37" t="str">
        <x:v>80</x:v>
      </x:c>
      <x:c r="V59" s="37" t="str">
        <x:v>high</x:v>
      </x:c>
      <x:c r="W59" s="37" t="str">
        <x:v>43</x:v>
      </x:c>
      <x:c r="X59" s="37" t="str">
        <x:v>low</x:v>
      </x:c>
      <x:c r="Y59" s="37" t="str">
        <x:v>53</x:v>
      </x:c>
      <x:c r="Z59" s="37" t="str">
        <x:v>medium</x:v>
      </x:c>
      <x:c r="AA59" s="38" t="str">
        <x:v>alternative_profiles_present;baseline_incomplete</x:v>
      </x:c>
      <x:c r="AB59" s="37" t="str">
        <x:v>review_required</x:v>
      </x:c>
    </x:row>
    <x:row r="60">
      <x:c r="A60" s="37" t="str">
        <x:v>RC-0059</x:v>
      </x:c>
      <x:c r="B60" s="37" t="str">
        <x:v>perk_entry_point</x:v>
      </x:c>
      <x:c r="C60" s="37" t="str">
        <x:v>observed_pattern</x:v>
      </x:c>
      <x:c r="D60" s="37" t="str">
        <x:v>repeated_implementation_profile</x:v>
      </x:c>
      <x:c r="E60" s="37" t="str">
        <x:v>Adamant</x:v>
      </x:c>
      <x:c r="F60" s="37" t="str">
        <x:v>Adamant.esp</x:v>
      </x:c>
      <x:c r="G60" s="37" t="str">
        <x:v>main</x:v>
      </x:c>
      <x:c r="H60" s="38" t="str">
        <x:v>Within Adamant.esp, the perk_entry_point implementation repeatedly uses: Mod Ingredients Harvested | Add Value | float; observed center: 1.0</x:v>
      </x:c>
      <x:c r="I60" s="37" t="str">
        <x:v>3</x:v>
      </x:c>
      <x:c r="J60" s="37" t="str">
        <x:v>observed_patterns:perk_entry_point:Mod Ingredients Harvested | Add Value | float</x:v>
      </x:c>
      <x:c r="K60" s="37" t="str">
        <x:v>descriptive_frequency</x:v>
      </x:c>
      <x:c r="L60" s="37" t="str">
        <x:v>mixed_or_external_missing</x:v>
      </x:c>
      <x:c r="M60" s="37" t="str">
        <x:v>alternative_profiles_present</x:v>
      </x:c>
      <x:c r="N60" s="37" t="str">
        <x:v>39</x:v>
      </x:c>
      <x:c r="O60" s="37" t="str"/>
      <x:c r="P60" s="37" t="str">
        <x:v>36</x:v>
      </x:c>
      <x:c r="Q60" s="37" t="str">
        <x:v>low</x:v>
      </x:c>
      <x:c r="R60" s="37" t="str">
        <x:v>review_required</x:v>
      </x:c>
      <x:c r="S60" s="37" t="str">
        <x:v>False</x:v>
      </x:c>
      <x:c r="T60" s="38" t="str">
        <x:v>Do not promote without scope review, exception review, and author-intent/baseline corroboration.</x:v>
      </x:c>
      <x:c r="U60" s="37" t="str">
        <x:v>55</x:v>
      </x:c>
      <x:c r="V60" s="37" t="str">
        <x:v>medium</x:v>
      </x:c>
      <x:c r="W60" s="37" t="str">
        <x:v>43</x:v>
      </x:c>
      <x:c r="X60" s="37" t="str">
        <x:v>low</x:v>
      </x:c>
      <x:c r="Y60" s="37" t="str">
        <x:v>40</x:v>
      </x:c>
      <x:c r="Z60" s="37" t="str">
        <x:v>low</x:v>
      </x:c>
      <x:c r="AA60" s="38" t="str">
        <x:v>alternative_profiles_present;baseline_incomplete</x:v>
      </x:c>
      <x:c r="AB60" s="37" t="str">
        <x:v>review_required</x:v>
      </x:c>
    </x:row>
    <x:row r="61">
      <x:c r="A61" s="37" t="str">
        <x:v>RC-0060</x:v>
      </x:c>
      <x:c r="B61" s="37" t="str">
        <x:v>perk_entry_point</x:v>
      </x:c>
      <x:c r="C61" s="37" t="str">
        <x:v>observed_pattern</x:v>
      </x:c>
      <x:c r="D61" s="37" t="str">
        <x:v>repeated_implementation_profile</x:v>
      </x:c>
      <x:c r="E61" s="37" t="str">
        <x:v>Adamant</x:v>
      </x:c>
      <x:c r="F61" s="37" t="str">
        <x:v>Adamant.esp</x:v>
      </x:c>
      <x:c r="G61" s="37" t="str">
        <x:v>main</x:v>
      </x:c>
      <x:c r="H61" s="38" t="str">
        <x:v>Within Adamant.esp, the perk_entry_point implementation repeatedly uses: Mod Initial Ingredient Effects Learned | Add Value | float; observed center: 1.0</x:v>
      </x:c>
      <x:c r="I61" s="37" t="str">
        <x:v>3</x:v>
      </x:c>
      <x:c r="J61" s="37" t="str">
        <x:v>observed_patterns:perk_entry_point:Mod Initial Ingredient Effects Learned | Add Value | float</x:v>
      </x:c>
      <x:c r="K61" s="37" t="str">
        <x:v>descriptive_frequency</x:v>
      </x:c>
      <x:c r="L61" s="37" t="str">
        <x:v>mixed_or_external_missing</x:v>
      </x:c>
      <x:c r="M61" s="37" t="str">
        <x:v>alternative_profiles_present</x:v>
      </x:c>
      <x:c r="N61" s="37" t="str">
        <x:v>39</x:v>
      </x:c>
      <x:c r="O61" s="37" t="str"/>
      <x:c r="P61" s="37" t="str">
        <x:v>36</x:v>
      </x:c>
      <x:c r="Q61" s="37" t="str">
        <x:v>low</x:v>
      </x:c>
      <x:c r="R61" s="37" t="str">
        <x:v>review_required</x:v>
      </x:c>
      <x:c r="S61" s="37" t="str">
        <x:v>False</x:v>
      </x:c>
      <x:c r="T61" s="38" t="str">
        <x:v>Do not promote without scope review, exception review, and author-intent/baseline corroboration.</x:v>
      </x:c>
      <x:c r="U61" s="37" t="str">
        <x:v>55</x:v>
      </x:c>
      <x:c r="V61" s="37" t="str">
        <x:v>medium</x:v>
      </x:c>
      <x:c r="W61" s="37" t="str">
        <x:v>43</x:v>
      </x:c>
      <x:c r="X61" s="37" t="str">
        <x:v>low</x:v>
      </x:c>
      <x:c r="Y61" s="37" t="str">
        <x:v>40</x:v>
      </x:c>
      <x:c r="Z61" s="37" t="str">
        <x:v>low</x:v>
      </x:c>
      <x:c r="AA61" s="38" t="str">
        <x:v>alternative_profiles_present;baseline_incomplete</x:v>
      </x:c>
      <x:c r="AB61" s="37" t="str">
        <x:v>review_required</x:v>
      </x:c>
    </x:row>
    <x:row r="62">
      <x:c r="A62" s="37" t="str">
        <x:v>RC-0061</x:v>
      </x:c>
      <x:c r="B62" s="37" t="str">
        <x:v>perk_entry_point</x:v>
      </x:c>
      <x:c r="C62" s="37" t="str">
        <x:v>observed_pattern</x:v>
      </x:c>
      <x:c r="D62" s="37" t="str">
        <x:v>repeated_implementation_profile</x:v>
      </x:c>
      <x:c r="E62" s="37" t="str">
        <x:v>Adamant</x:v>
      </x:c>
      <x:c r="F62" s="37" t="str">
        <x:v>Adamant.esp</x:v>
      </x:c>
      <x:c r="G62" s="37" t="str">
        <x:v>main</x:v>
      </x:c>
      <x:c r="H62" s="38" t="str">
        <x:v>Within Adamant.esp, the perk_entry_point implementation repeatedly uses: Mod Lockpick Sweet Spot | Multiply Value | float; observed center: 1.7999999523162842</x:v>
      </x:c>
      <x:c r="I62" s="37" t="str">
        <x:v>5</x:v>
      </x:c>
      <x:c r="J62" s="37" t="str">
        <x:v>observed_patterns:perk_entry_point:Mod Lockpick Sweet Spot | Multiply Value | float</x:v>
      </x:c>
      <x:c r="K62" s="37" t="str">
        <x:v>descriptive_frequency</x:v>
      </x:c>
      <x:c r="L62" s="37" t="str">
        <x:v>mixed_or_external_missing</x:v>
      </x:c>
      <x:c r="M62" s="37" t="str">
        <x:v>alternative_profiles_present</x:v>
      </x:c>
      <x:c r="N62" s="37" t="str">
        <x:v>39</x:v>
      </x:c>
      <x:c r="O62" s="37" t="str"/>
      <x:c r="P62" s="37" t="str">
        <x:v>42</x:v>
      </x:c>
      <x:c r="Q62" s="37" t="str">
        <x:v>low</x:v>
      </x:c>
      <x:c r="R62" s="37" t="str">
        <x:v>review_required</x:v>
      </x:c>
      <x:c r="S62" s="37" t="str">
        <x:v>False</x:v>
      </x:c>
      <x:c r="T62" s="38" t="str">
        <x:v>Do not promote without scope review, exception review, and author-intent/baseline corroboration.</x:v>
      </x:c>
      <x:c r="U62" s="37" t="str">
        <x:v>62</x:v>
      </x:c>
      <x:c r="V62" s="37" t="str">
        <x:v>medium</x:v>
      </x:c>
      <x:c r="W62" s="37" t="str">
        <x:v>43</x:v>
      </x:c>
      <x:c r="X62" s="37" t="str">
        <x:v>low</x:v>
      </x:c>
      <x:c r="Y62" s="37" t="str">
        <x:v>43</x:v>
      </x:c>
      <x:c r="Z62" s="37" t="str">
        <x:v>low</x:v>
      </x:c>
      <x:c r="AA62" s="38" t="str">
        <x:v>alternative_profiles_present;baseline_incomplete</x:v>
      </x:c>
      <x:c r="AB62" s="37" t="str">
        <x:v>review_required</x:v>
      </x:c>
    </x:row>
    <x:row r="63">
      <x:c r="A63" s="37" t="str">
        <x:v>RC-0062</x:v>
      </x:c>
      <x:c r="B63" s="37" t="str">
        <x:v>perk_entry_point</x:v>
      </x:c>
      <x:c r="C63" s="37" t="str">
        <x:v>observed_pattern</x:v>
      </x:c>
      <x:c r="D63" s="37" t="str">
        <x:v>repeated_implementation_profile</x:v>
      </x:c>
      <x:c r="E63" s="37" t="str">
        <x:v>Adamant</x:v>
      </x:c>
      <x:c r="F63" s="37" t="str">
        <x:v>Adamant.esp</x:v>
      </x:c>
      <x:c r="G63" s="37" t="str">
        <x:v>main</x:v>
      </x:c>
      <x:c r="H63" s="38" t="str">
        <x:v>Within Adamant.esp, the perk_entry_point implementation repeatedly uses: Mod Pickpocket Chance | Add Value | float; observed center: 25.0</x:v>
      </x:c>
      <x:c r="I63" s="37" t="str">
        <x:v>7</x:v>
      </x:c>
      <x:c r="J63" s="37" t="str">
        <x:v>observed_patterns:perk_entry_point:Mod Pickpocket Chance | Add Value | float</x:v>
      </x:c>
      <x:c r="K63" s="37" t="str">
        <x:v>descriptive_frequency</x:v>
      </x:c>
      <x:c r="L63" s="37" t="str">
        <x:v>mixed_or_external_missing</x:v>
      </x:c>
      <x:c r="M63" s="37" t="str">
        <x:v>alternative_profiles_present</x:v>
      </x:c>
      <x:c r="N63" s="37" t="str">
        <x:v>39</x:v>
      </x:c>
      <x:c r="O63" s="37" t="str"/>
      <x:c r="P63" s="37" t="str">
        <x:v>42</x:v>
      </x:c>
      <x:c r="Q63" s="37" t="str">
        <x:v>low</x:v>
      </x:c>
      <x:c r="R63" s="37" t="str">
        <x:v>review_required</x:v>
      </x:c>
      <x:c r="S63" s="37" t="str">
        <x:v>False</x:v>
      </x:c>
      <x:c r="T63" s="38" t="str">
        <x:v>Do not promote without scope review, exception review, and author-intent/baseline corroboration.</x:v>
      </x:c>
      <x:c r="U63" s="37" t="str">
        <x:v>62</x:v>
      </x:c>
      <x:c r="V63" s="37" t="str">
        <x:v>medium</x:v>
      </x:c>
      <x:c r="W63" s="37" t="str">
        <x:v>43</x:v>
      </x:c>
      <x:c r="X63" s="37" t="str">
        <x:v>low</x:v>
      </x:c>
      <x:c r="Y63" s="37" t="str">
        <x:v>43</x:v>
      </x:c>
      <x:c r="Z63" s="37" t="str">
        <x:v>low</x:v>
      </x:c>
      <x:c r="AA63" s="38" t="str">
        <x:v>alternative_profiles_present;baseline_incomplete</x:v>
      </x:c>
      <x:c r="AB63" s="37" t="str">
        <x:v>review_required</x:v>
      </x:c>
    </x:row>
    <x:row r="64">
      <x:c r="A64" s="37" t="str">
        <x:v>RC-0063</x:v>
      </x:c>
      <x:c r="B64" s="37" t="str">
        <x:v>perk_entry_point</x:v>
      </x:c>
      <x:c r="C64" s="37" t="str">
        <x:v>observed_pattern</x:v>
      </x:c>
      <x:c r="D64" s="37" t="str">
        <x:v>repeated_implementation_profile</x:v>
      </x:c>
      <x:c r="E64" s="37" t="str">
        <x:v>Adamant</x:v>
      </x:c>
      <x:c r="F64" s="37" t="str">
        <x:v>Adamant.esp</x:v>
      </x:c>
      <x:c r="G64" s="37" t="str">
        <x:v>main</x:v>
      </x:c>
      <x:c r="H64" s="38" t="str">
        <x:v>Within Adamant.esp, the perk_entry_point implementation repeatedly uses: Mod Poison Dose Count | Add Value | float; observed center: 1.0</x:v>
      </x:c>
      <x:c r="I64" s="37" t="str">
        <x:v>4</x:v>
      </x:c>
      <x:c r="J64" s="37" t="str">
        <x:v>observed_patterns:perk_entry_point:Mod Poison Dose Count | Add Value | float</x:v>
      </x:c>
      <x:c r="K64" s="37" t="str">
        <x:v>descriptive_frequency</x:v>
      </x:c>
      <x:c r="L64" s="37" t="str">
        <x:v>mixed_or_external_missing</x:v>
      </x:c>
      <x:c r="M64" s="37" t="str">
        <x:v>alternative_profiles_present</x:v>
      </x:c>
      <x:c r="N64" s="37" t="str">
        <x:v>39</x:v>
      </x:c>
      <x:c r="O64" s="37" t="str"/>
      <x:c r="P64" s="37" t="str">
        <x:v>36</x:v>
      </x:c>
      <x:c r="Q64" s="37" t="str">
        <x:v>low</x:v>
      </x:c>
      <x:c r="R64" s="37" t="str">
        <x:v>review_required</x:v>
      </x:c>
      <x:c r="S64" s="37" t="str">
        <x:v>False</x:v>
      </x:c>
      <x:c r="T64" s="38" t="str">
        <x:v>Do not promote without scope review, exception review, and author-intent/baseline corroboration.</x:v>
      </x:c>
      <x:c r="U64" s="37" t="str">
        <x:v>55</x:v>
      </x:c>
      <x:c r="V64" s="37" t="str">
        <x:v>medium</x:v>
      </x:c>
      <x:c r="W64" s="37" t="str">
        <x:v>43</x:v>
      </x:c>
      <x:c r="X64" s="37" t="str">
        <x:v>low</x:v>
      </x:c>
      <x:c r="Y64" s="37" t="str">
        <x:v>40</x:v>
      </x:c>
      <x:c r="Z64" s="37" t="str">
        <x:v>low</x:v>
      </x:c>
      <x:c r="AA64" s="38" t="str">
        <x:v>alternative_profiles_present;baseline_incomplete</x:v>
      </x:c>
      <x:c r="AB64" s="37" t="str">
        <x:v>review_required</x:v>
      </x:c>
    </x:row>
    <x:row r="65">
      <x:c r="A65" s="37" t="str">
        <x:v>RC-0064</x:v>
      </x:c>
      <x:c r="B65" s="37" t="str">
        <x:v>perk_entry_point</x:v>
      </x:c>
      <x:c r="C65" s="37" t="str">
        <x:v>observed_pattern</x:v>
      </x:c>
      <x:c r="D65" s="37" t="str">
        <x:v>repeated_implementation_profile</x:v>
      </x:c>
      <x:c r="E65" s="37" t="str">
        <x:v>Adamant</x:v>
      </x:c>
      <x:c r="F65" s="37" t="str">
        <x:v>Adamant.esp</x:v>
      </x:c>
      <x:c r="G65" s="37" t="str">
        <x:v>main</x:v>
      </x:c>
      <x:c r="H65" s="38" t="str">
        <x:v>Within Adamant.esp, the perk_entry_point implementation repeatedly uses: Mod Power Attack Damage | Multiply Value | float; observed center: 1.5</x:v>
      </x:c>
      <x:c r="I65" s="37" t="str">
        <x:v>10</x:v>
      </x:c>
      <x:c r="J65" s="37" t="str">
        <x:v>observed_patterns:perk_entry_point:Mod Power Attack Damage | Multiply Value | float</x:v>
      </x:c>
      <x:c r="K65" s="37" t="str">
        <x:v>descriptive_frequency</x:v>
      </x:c>
      <x:c r="L65" s="37" t="str">
        <x:v>mixed_or_external_missing</x:v>
      </x:c>
      <x:c r="M65" s="37" t="str">
        <x:v>alternative_profiles_present</x:v>
      </x:c>
      <x:c r="N65" s="37" t="str">
        <x:v>39</x:v>
      </x:c>
      <x:c r="O65" s="37" t="str"/>
      <x:c r="P65" s="37" t="str">
        <x:v>48</x:v>
      </x:c>
      <x:c r="Q65" s="37" t="str">
        <x:v>low</x:v>
      </x:c>
      <x:c r="R65" s="37" t="str">
        <x:v>review_required</x:v>
      </x:c>
      <x:c r="S65" s="37" t="str">
        <x:v>False</x:v>
      </x:c>
      <x:c r="T65" s="38" t="str">
        <x:v>Do not promote without scope review, exception review, and author-intent/baseline corroboration.</x:v>
      </x:c>
      <x:c r="U65" s="37" t="str">
        <x:v>70</x:v>
      </x:c>
      <x:c r="V65" s="37" t="str">
        <x:v>medium</x:v>
      </x:c>
      <x:c r="W65" s="37" t="str">
        <x:v>43</x:v>
      </x:c>
      <x:c r="X65" s="37" t="str">
        <x:v>low</x:v>
      </x:c>
      <x:c r="Y65" s="37" t="str">
        <x:v>48</x:v>
      </x:c>
      <x:c r="Z65" s="37" t="str">
        <x:v>low</x:v>
      </x:c>
      <x:c r="AA65" s="38" t="str">
        <x:v>alternative_profiles_present;baseline_incomplete</x:v>
      </x:c>
      <x:c r="AB65" s="37" t="str">
        <x:v>review_required</x:v>
      </x:c>
    </x:row>
    <x:row r="66">
      <x:c r="A66" s="37" t="str">
        <x:v>RC-0065</x:v>
      </x:c>
      <x:c r="B66" s="37" t="str">
        <x:v>perk_entry_point</x:v>
      </x:c>
      <x:c r="C66" s="37" t="str">
        <x:v>observed_pattern</x:v>
      </x:c>
      <x:c r="D66" s="37" t="str">
        <x:v>repeated_implementation_profile</x:v>
      </x:c>
      <x:c r="E66" s="37" t="str">
        <x:v>Adamant</x:v>
      </x:c>
      <x:c r="F66" s="37" t="str">
        <x:v>Adamant.esp</x:v>
      </x:c>
      <x:c r="G66" s="37" t="str">
        <x:v>main</x:v>
      </x:c>
      <x:c r="H66" s="38" t="str">
        <x:v>Within Adamant.esp, the perk_entry_point implementation repeatedly uses: Mod Power Attack Stamina | Multiply Value | float; observed center: 0.800000011920929</x:v>
      </x:c>
      <x:c r="I66" s="37" t="str">
        <x:v>6</x:v>
      </x:c>
      <x:c r="J66" s="37" t="str">
        <x:v>observed_patterns:perk_entry_point:Mod Power Attack Stamina | Multiply Value | float</x:v>
      </x:c>
      <x:c r="K66" s="37" t="str">
        <x:v>descriptive_frequency</x:v>
      </x:c>
      <x:c r="L66" s="37" t="str">
        <x:v>mixed_or_external_missing</x:v>
      </x:c>
      <x:c r="M66" s="37" t="str">
        <x:v>alternative_profiles_present</x:v>
      </x:c>
      <x:c r="N66" s="37" t="str">
        <x:v>39</x:v>
      </x:c>
      <x:c r="O66" s="37" t="str"/>
      <x:c r="P66" s="37" t="str">
        <x:v>42</x:v>
      </x:c>
      <x:c r="Q66" s="37" t="str">
        <x:v>low</x:v>
      </x:c>
      <x:c r="R66" s="37" t="str">
        <x:v>review_required</x:v>
      </x:c>
      <x:c r="S66" s="37" t="str">
        <x:v>False</x:v>
      </x:c>
      <x:c r="T66" s="38" t="str">
        <x:v>Do not promote without scope review, exception review, and author-intent/baseline corroboration.</x:v>
      </x:c>
      <x:c r="U66" s="37" t="str">
        <x:v>62</x:v>
      </x:c>
      <x:c r="V66" s="37" t="str">
        <x:v>medium</x:v>
      </x:c>
      <x:c r="W66" s="37" t="str">
        <x:v>43</x:v>
      </x:c>
      <x:c r="X66" s="37" t="str">
        <x:v>low</x:v>
      </x:c>
      <x:c r="Y66" s="37" t="str">
        <x:v>43</x:v>
      </x:c>
      <x:c r="Z66" s="37" t="str">
        <x:v>low</x:v>
      </x:c>
      <x:c r="AA66" s="38" t="str">
        <x:v>alternative_profiles_present;baseline_incomplete</x:v>
      </x:c>
      <x:c r="AB66" s="37" t="str">
        <x:v>review_required</x:v>
      </x:c>
    </x:row>
    <x:row r="67">
      <x:c r="A67" s="37" t="str">
        <x:v>RC-0066</x:v>
      </x:c>
      <x:c r="B67" s="37" t="str">
        <x:v>perk_entry_point</x:v>
      </x:c>
      <x:c r="C67" s="37" t="str">
        <x:v>observed_pattern</x:v>
      </x:c>
      <x:c r="D67" s="37" t="str">
        <x:v>repeated_implementation_profile</x:v>
      </x:c>
      <x:c r="E67" s="37" t="str">
        <x:v>Adamant</x:v>
      </x:c>
      <x:c r="F67" s="37" t="str">
        <x:v>Adamant.esp</x:v>
      </x:c>
      <x:c r="G67" s="37" t="str">
        <x:v>main</x:v>
      </x:c>
      <x:c r="H67" s="38" t="str">
        <x:v>Within Adamant.esp, the perk_entry_point implementation repeatedly uses: Mod Recover Arrow Chance | Set Value | float; observed center: 50.0</x:v>
      </x:c>
      <x:c r="I67" s="37" t="str">
        <x:v>11</x:v>
      </x:c>
      <x:c r="J67" s="37" t="str">
        <x:v>observed_patterns:perk_entry_point:Mod Recover Arrow Chance | Set Value | float</x:v>
      </x:c>
      <x:c r="K67" s="37" t="str">
        <x:v>descriptive_frequency</x:v>
      </x:c>
      <x:c r="L67" s="37" t="str">
        <x:v>mixed_or_external_missing</x:v>
      </x:c>
      <x:c r="M67" s="37" t="str">
        <x:v>alternative_profiles_present</x:v>
      </x:c>
      <x:c r="N67" s="37" t="str">
        <x:v>39</x:v>
      </x:c>
      <x:c r="O67" s="37" t="str"/>
      <x:c r="P67" s="37" t="str">
        <x:v>48</x:v>
      </x:c>
      <x:c r="Q67" s="37" t="str">
        <x:v>low</x:v>
      </x:c>
      <x:c r="R67" s="37" t="str">
        <x:v>review_required</x:v>
      </x:c>
      <x:c r="S67" s="37" t="str">
        <x:v>False</x:v>
      </x:c>
      <x:c r="T67" s="38" t="str">
        <x:v>Do not promote without scope review, exception review, and author-intent/baseline corroboration.</x:v>
      </x:c>
      <x:c r="U67" s="37" t="str">
        <x:v>70</x:v>
      </x:c>
      <x:c r="V67" s="37" t="str">
        <x:v>medium</x:v>
      </x:c>
      <x:c r="W67" s="37" t="str">
        <x:v>43</x:v>
      </x:c>
      <x:c r="X67" s="37" t="str">
        <x:v>low</x:v>
      </x:c>
      <x:c r="Y67" s="37" t="str">
        <x:v>48</x:v>
      </x:c>
      <x:c r="Z67" s="37" t="str">
        <x:v>low</x:v>
      </x:c>
      <x:c r="AA67" s="38" t="str">
        <x:v>alternative_profiles_present;baseline_incomplete</x:v>
      </x:c>
      <x:c r="AB67" s="37" t="str">
        <x:v>review_required</x:v>
      </x:c>
    </x:row>
    <x:row r="68">
      <x:c r="A68" s="37" t="str">
        <x:v>RC-0067</x:v>
      </x:c>
      <x:c r="B68" s="37" t="str">
        <x:v>perk_entry_point</x:v>
      </x:c>
      <x:c r="C68" s="37" t="str">
        <x:v>observed_pattern</x:v>
      </x:c>
      <x:c r="D68" s="37" t="str">
        <x:v>repeated_implementation_profile</x:v>
      </x:c>
      <x:c r="E68" s="37" t="str">
        <x:v>Adamant</x:v>
      </x:c>
      <x:c r="F68" s="37" t="str">
        <x:v>Adamant.esp</x:v>
      </x:c>
      <x:c r="G68" s="37" t="str">
        <x:v>main</x:v>
      </x:c>
      <x:c r="H68" s="38" t="str">
        <x:v>Within Adamant.esp, the perk_entry_point implementation repeatedly uses: Mod Secondary Value Weight | Multiply Value | float; observed center: 1.25</x:v>
      </x:c>
      <x:c r="I68" s="37" t="str">
        <x:v>4</x:v>
      </x:c>
      <x:c r="J68" s="37" t="str">
        <x:v>observed_patterns:perk_entry_point:Mod Secondary Value Weight | Multiply Value | float</x:v>
      </x:c>
      <x:c r="K68" s="37" t="str">
        <x:v>descriptive_frequency</x:v>
      </x:c>
      <x:c r="L68" s="37" t="str">
        <x:v>mixed_or_external_missing</x:v>
      </x:c>
      <x:c r="M68" s="37" t="str">
        <x:v>alternative_profiles_present</x:v>
      </x:c>
      <x:c r="N68" s="37" t="str">
        <x:v>39</x:v>
      </x:c>
      <x:c r="O68" s="37" t="str"/>
      <x:c r="P68" s="37" t="str">
        <x:v>36</x:v>
      </x:c>
      <x:c r="Q68" s="37" t="str">
        <x:v>low</x:v>
      </x:c>
      <x:c r="R68" s="37" t="str">
        <x:v>review_required</x:v>
      </x:c>
      <x:c r="S68" s="37" t="str">
        <x:v>False</x:v>
      </x:c>
      <x:c r="T68" s="38" t="str">
        <x:v>Do not promote without scope review, exception review, and author-intent/baseline corroboration.</x:v>
      </x:c>
      <x:c r="U68" s="37" t="str">
        <x:v>55</x:v>
      </x:c>
      <x:c r="V68" s="37" t="str">
        <x:v>medium</x:v>
      </x:c>
      <x:c r="W68" s="37" t="str">
        <x:v>43</x:v>
      </x:c>
      <x:c r="X68" s="37" t="str">
        <x:v>low</x:v>
      </x:c>
      <x:c r="Y68" s="37" t="str">
        <x:v>40</x:v>
      </x:c>
      <x:c r="Z68" s="37" t="str">
        <x:v>low</x:v>
      </x:c>
      <x:c r="AA68" s="38" t="str">
        <x:v>alternative_profiles_present;baseline_incomplete</x:v>
      </x:c>
      <x:c r="AB68" s="37" t="str">
        <x:v>review_required</x:v>
      </x:c>
    </x:row>
    <x:row r="69">
      <x:c r="A69" s="37" t="str">
        <x:v>RC-0068</x:v>
      </x:c>
      <x:c r="B69" s="37" t="str">
        <x:v>perk_entry_point</x:v>
      </x:c>
      <x:c r="C69" s="37" t="str">
        <x:v>observed_pattern</x:v>
      </x:c>
      <x:c r="D69" s="37" t="str">
        <x:v>repeated_implementation_profile</x:v>
      </x:c>
      <x:c r="E69" s="37" t="str">
        <x:v>Adamant</x:v>
      </x:c>
      <x:c r="F69" s="37" t="str">
        <x:v>Adamant.esp</x:v>
      </x:c>
      <x:c r="G69" s="37" t="str">
        <x:v>main</x:v>
      </x:c>
      <x:c r="H69" s="38" t="str">
        <x:v>Within Adamant.esp, the perk_entry_point implementation repeatedly uses: Mod Sell Prices | Multiply Value | float; observed center: 1.225000023841858</x:v>
      </x:c>
      <x:c r="I69" s="37" t="str">
        <x:v>4</x:v>
      </x:c>
      <x:c r="J69" s="37" t="str">
        <x:v>observed_patterns:perk_entry_point:Mod Sell Prices | Multiply Value | float</x:v>
      </x:c>
      <x:c r="K69" s="37" t="str">
        <x:v>descriptive_frequency</x:v>
      </x:c>
      <x:c r="L69" s="37" t="str">
        <x:v>mixed_or_external_missing</x:v>
      </x:c>
      <x:c r="M69" s="37" t="str">
        <x:v>alternative_profiles_present</x:v>
      </x:c>
      <x:c r="N69" s="37" t="str">
        <x:v>39</x:v>
      </x:c>
      <x:c r="O69" s="37" t="str"/>
      <x:c r="P69" s="37" t="str">
        <x:v>36</x:v>
      </x:c>
      <x:c r="Q69" s="37" t="str">
        <x:v>low</x:v>
      </x:c>
      <x:c r="R69" s="37" t="str">
        <x:v>review_required</x:v>
      </x:c>
      <x:c r="S69" s="37" t="str">
        <x:v>False</x:v>
      </x:c>
      <x:c r="T69" s="38" t="str">
        <x:v>Do not promote without scope review, exception review, and author-intent/baseline corroboration.</x:v>
      </x:c>
      <x:c r="U69" s="37" t="str">
        <x:v>55</x:v>
      </x:c>
      <x:c r="V69" s="37" t="str">
        <x:v>medium</x:v>
      </x:c>
      <x:c r="W69" s="37" t="str">
        <x:v>43</x:v>
      </x:c>
      <x:c r="X69" s="37" t="str">
        <x:v>low</x:v>
      </x:c>
      <x:c r="Y69" s="37" t="str">
        <x:v>40</x:v>
      </x:c>
      <x:c r="Z69" s="37" t="str">
        <x:v>low</x:v>
      </x:c>
      <x:c r="AA69" s="38" t="str">
        <x:v>alternative_profiles_present;baseline_incomplete</x:v>
      </x:c>
      <x:c r="AB69" s="37" t="str">
        <x:v>review_required</x:v>
      </x:c>
    </x:row>
    <x:row r="70">
      <x:c r="A70" s="37" t="str">
        <x:v>RC-0069</x:v>
      </x:c>
      <x:c r="B70" s="37" t="str">
        <x:v>perk_entry_point</x:v>
      </x:c>
      <x:c r="C70" s="37" t="str">
        <x:v>observed_pattern</x:v>
      </x:c>
      <x:c r="D70" s="37" t="str">
        <x:v>repeated_implementation_profile</x:v>
      </x:c>
      <x:c r="E70" s="37" t="str">
        <x:v>Adamant</x:v>
      </x:c>
      <x:c r="F70" s="37" t="str">
        <x:v>Adamant.esp</x:v>
      </x:c>
      <x:c r="G70" s="37" t="str">
        <x:v>main</x:v>
      </x:c>
      <x:c r="H70" s="38" t="str">
        <x:v>Within Adamant.esp, the perk_entry_point implementation repeatedly uses: Mod Skill Use | Multiply Value | float; observed center: 1.100000023841858</x:v>
      </x:c>
      <x:c r="I70" s="37" t="str">
        <x:v>4</x:v>
      </x:c>
      <x:c r="J70" s="37" t="str">
        <x:v>observed_patterns:perk_entry_point:Mod Skill Use | Multiply Value | float</x:v>
      </x:c>
      <x:c r="K70" s="37" t="str">
        <x:v>descriptive_frequency</x:v>
      </x:c>
      <x:c r="L70" s="37" t="str">
        <x:v>mixed_or_external_missing</x:v>
      </x:c>
      <x:c r="M70" s="37" t="str">
        <x:v>alternative_profiles_present</x:v>
      </x:c>
      <x:c r="N70" s="37" t="str">
        <x:v>39</x:v>
      </x:c>
      <x:c r="O70" s="37" t="str"/>
      <x:c r="P70" s="37" t="str">
        <x:v>36</x:v>
      </x:c>
      <x:c r="Q70" s="37" t="str">
        <x:v>low</x:v>
      </x:c>
      <x:c r="R70" s="37" t="str">
        <x:v>review_required</x:v>
      </x:c>
      <x:c r="S70" s="37" t="str">
        <x:v>False</x:v>
      </x:c>
      <x:c r="T70" s="38" t="str">
        <x:v>Do not promote without scope review, exception review, and author-intent/baseline corroboration.</x:v>
      </x:c>
      <x:c r="U70" s="37" t="str">
        <x:v>55</x:v>
      </x:c>
      <x:c r="V70" s="37" t="str">
        <x:v>medium</x:v>
      </x:c>
      <x:c r="W70" s="37" t="str">
        <x:v>43</x:v>
      </x:c>
      <x:c r="X70" s="37" t="str">
        <x:v>low</x:v>
      </x:c>
      <x:c r="Y70" s="37" t="str">
        <x:v>40</x:v>
      </x:c>
      <x:c r="Z70" s="37" t="str">
        <x:v>low</x:v>
      </x:c>
      <x:c r="AA70" s="38" t="str">
        <x:v>alternative_profiles_present;baseline_incomplete</x:v>
      </x:c>
      <x:c r="AB70" s="37" t="str">
        <x:v>review_required</x:v>
      </x:c>
    </x:row>
    <x:row r="71">
      <x:c r="A71" s="37" t="str">
        <x:v>RC-0070</x:v>
      </x:c>
      <x:c r="B71" s="37" t="str">
        <x:v>perk_entry_point</x:v>
      </x:c>
      <x:c r="C71" s="37" t="str">
        <x:v>observed_pattern</x:v>
      </x:c>
      <x:c r="D71" s="37" t="str">
        <x:v>repeated_implementation_profile</x:v>
      </x:c>
      <x:c r="E71" s="37" t="str">
        <x:v>Adamant</x:v>
      </x:c>
      <x:c r="F71" s="37" t="str">
        <x:v>Adamant.esp</x:v>
      </x:c>
      <x:c r="G71" s="37" t="str">
        <x:v>main</x:v>
      </x:c>
      <x:c r="H71" s="38" t="str">
        <x:v>Within Adamant.esp, the perk_entry_point implementation repeatedly uses: Mod Sneak Attack Mult | Multiply Value | float; observed center: 1.5</x:v>
      </x:c>
      <x:c r="I71" s="37" t="str">
        <x:v>7</x:v>
      </x:c>
      <x:c r="J71" s="37" t="str">
        <x:v>observed_patterns:perk_entry_point:Mod Sneak Attack Mult | Multiply Value | float</x:v>
      </x:c>
      <x:c r="K71" s="37" t="str">
        <x:v>descriptive_frequency</x:v>
      </x:c>
      <x:c r="L71" s="37" t="str">
        <x:v>mixed_or_external_missing</x:v>
      </x:c>
      <x:c r="M71" s="37" t="str">
        <x:v>alternative_profiles_present</x:v>
      </x:c>
      <x:c r="N71" s="37" t="str">
        <x:v>39</x:v>
      </x:c>
      <x:c r="O71" s="37" t="str"/>
      <x:c r="P71" s="37" t="str">
        <x:v>42</x:v>
      </x:c>
      <x:c r="Q71" s="37" t="str">
        <x:v>low</x:v>
      </x:c>
      <x:c r="R71" s="37" t="str">
        <x:v>review_required</x:v>
      </x:c>
      <x:c r="S71" s="37" t="str">
        <x:v>False</x:v>
      </x:c>
      <x:c r="T71" s="38" t="str">
        <x:v>Do not promote without scope review, exception review, and author-intent/baseline corroboration.</x:v>
      </x:c>
      <x:c r="U71" s="37" t="str">
        <x:v>62</x:v>
      </x:c>
      <x:c r="V71" s="37" t="str">
        <x:v>medium</x:v>
      </x:c>
      <x:c r="W71" s="37" t="str">
        <x:v>43</x:v>
      </x:c>
      <x:c r="X71" s="37" t="str">
        <x:v>low</x:v>
      </x:c>
      <x:c r="Y71" s="37" t="str">
        <x:v>43</x:v>
      </x:c>
      <x:c r="Z71" s="37" t="str">
        <x:v>low</x:v>
      </x:c>
      <x:c r="AA71" s="38" t="str">
        <x:v>alternative_profiles_present;baseline_incomplete</x:v>
      </x:c>
      <x:c r="AB71" s="37" t="str">
        <x:v>review_required</x:v>
      </x:c>
    </x:row>
    <x:row r="72">
      <x:c r="A72" s="37" t="str">
        <x:v>RC-0071</x:v>
      </x:c>
      <x:c r="B72" s="37" t="str">
        <x:v>perk_entry_point</x:v>
      </x:c>
      <x:c r="C72" s="37" t="str">
        <x:v>observed_pattern</x:v>
      </x:c>
      <x:c r="D72" s="37" t="str">
        <x:v>repeated_implementation_profile</x:v>
      </x:c>
      <x:c r="E72" s="37" t="str">
        <x:v>Adamant</x:v>
      </x:c>
      <x:c r="F72" s="37" t="str">
        <x:v>Adamant.esp</x:v>
      </x:c>
      <x:c r="G72" s="37" t="str">
        <x:v>main</x:v>
      </x:c>
      <x:c r="H72" s="38" t="str">
        <x:v>Within Adamant.esp, the perk_entry_point implementation repeatedly uses: Mod Spell Cost | Multiply Value | float; observed center: 0.75</x:v>
      </x:c>
      <x:c r="I72" s="37" t="str">
        <x:v>37</x:v>
      </x:c>
      <x:c r="J72" s="37" t="str">
        <x:v>observed_patterns:perk_entry_point:Mod Spell Cost | Multiply Value | float</x:v>
      </x:c>
      <x:c r="K72" s="37" t="str">
        <x:v>descriptive_frequency</x:v>
      </x:c>
      <x:c r="L72" s="37" t="str">
        <x:v>mixed_or_external_missing</x:v>
      </x:c>
      <x:c r="M72" s="37" t="str">
        <x:v>alternative_profiles_present</x:v>
      </x:c>
      <x:c r="N72" s="37" t="str">
        <x:v>39</x:v>
      </x:c>
      <x:c r="O72" s="37" t="str"/>
      <x:c r="P72" s="37" t="str">
        <x:v>53</x:v>
      </x:c>
      <x:c r="Q72" s="37" t="str">
        <x:v>medium</x:v>
      </x:c>
      <x:c r="R72" s="37" t="str">
        <x:v>review_required</x:v>
      </x:c>
      <x:c r="S72" s="37" t="str">
        <x:v>False</x:v>
      </x:c>
      <x:c r="T72" s="38" t="str">
        <x:v>Do not promote without scope review, exception review, and author-intent/baseline corroboration.</x:v>
      </x:c>
      <x:c r="U72" s="37" t="str">
        <x:v>80</x:v>
      </x:c>
      <x:c r="V72" s="37" t="str">
        <x:v>high</x:v>
      </x:c>
      <x:c r="W72" s="37" t="str">
        <x:v>43</x:v>
      </x:c>
      <x:c r="X72" s="37" t="str">
        <x:v>low</x:v>
      </x:c>
      <x:c r="Y72" s="37" t="str">
        <x:v>53</x:v>
      </x:c>
      <x:c r="Z72" s="37" t="str">
        <x:v>medium</x:v>
      </x:c>
      <x:c r="AA72" s="38" t="str">
        <x:v>alternative_profiles_present;baseline_incomplete</x:v>
      </x:c>
      <x:c r="AB72" s="37" t="str">
        <x:v>review_required</x:v>
      </x:c>
    </x:row>
    <x:row r="73">
      <x:c r="A73" s="37" t="str">
        <x:v>RC-0072</x:v>
      </x:c>
      <x:c r="B73" s="37" t="str">
        <x:v>perk_entry_point</x:v>
      </x:c>
      <x:c r="C73" s="37" t="str">
        <x:v>observed_pattern</x:v>
      </x:c>
      <x:c r="D73" s="37" t="str">
        <x:v>repeated_implementation_profile</x:v>
      </x:c>
      <x:c r="E73" s="37" t="str">
        <x:v>Adamant</x:v>
      </x:c>
      <x:c r="F73" s="37" t="str">
        <x:v>Adamant.esp</x:v>
      </x:c>
      <x:c r="G73" s="37" t="str">
        <x:v>main</x:v>
      </x:c>
      <x:c r="H73" s="38" t="str">
        <x:v>Within Adamant.esp, the perk_entry_point implementation repeatedly uses: Mod Spell Duration | Add Value | float; observed center: 2.0</x:v>
      </x:c>
      <x:c r="I73" s="37" t="str">
        <x:v>3</x:v>
      </x:c>
      <x:c r="J73" s="37" t="str">
        <x:v>observed_patterns:perk_entry_point:Mod Spell Duration | Add Value | float</x:v>
      </x:c>
      <x:c r="K73" s="37" t="str">
        <x:v>descriptive_frequency</x:v>
      </x:c>
      <x:c r="L73" s="37" t="str">
        <x:v>mixed_or_external_missing</x:v>
      </x:c>
      <x:c r="M73" s="37" t="str">
        <x:v>alternative_profiles_present</x:v>
      </x:c>
      <x:c r="N73" s="37" t="str">
        <x:v>39</x:v>
      </x:c>
      <x:c r="O73" s="37" t="str"/>
      <x:c r="P73" s="37" t="str">
        <x:v>36</x:v>
      </x:c>
      <x:c r="Q73" s="37" t="str">
        <x:v>low</x:v>
      </x:c>
      <x:c r="R73" s="37" t="str">
        <x:v>review_required</x:v>
      </x:c>
      <x:c r="S73" s="37" t="str">
        <x:v>False</x:v>
      </x:c>
      <x:c r="T73" s="38" t="str">
        <x:v>Do not promote without scope review, exception review, and author-intent/baseline corroboration.</x:v>
      </x:c>
      <x:c r="U73" s="37" t="str">
        <x:v>55</x:v>
      </x:c>
      <x:c r="V73" s="37" t="str">
        <x:v>medium</x:v>
      </x:c>
      <x:c r="W73" s="37" t="str">
        <x:v>43</x:v>
      </x:c>
      <x:c r="X73" s="37" t="str">
        <x:v>low</x:v>
      </x:c>
      <x:c r="Y73" s="37" t="str">
        <x:v>40</x:v>
      </x:c>
      <x:c r="Z73" s="37" t="str">
        <x:v>low</x:v>
      </x:c>
      <x:c r="AA73" s="38" t="str">
        <x:v>alternative_profiles_present;baseline_incomplete</x:v>
      </x:c>
      <x:c r="AB73" s="37" t="str">
        <x:v>review_required</x:v>
      </x:c>
    </x:row>
    <x:row r="74">
      <x:c r="A74" s="37" t="str">
        <x:v>RC-0073</x:v>
      </x:c>
      <x:c r="B74" s="37" t="str">
        <x:v>perk_entry_point</x:v>
      </x:c>
      <x:c r="C74" s="37" t="str">
        <x:v>observed_pattern</x:v>
      </x:c>
      <x:c r="D74" s="37" t="str">
        <x:v>repeated_implementation_profile</x:v>
      </x:c>
      <x:c r="E74" s="37" t="str">
        <x:v>Adamant</x:v>
      </x:c>
      <x:c r="F74" s="37" t="str">
        <x:v>Adamant.esp</x:v>
      </x:c>
      <x:c r="G74" s="37" t="str">
        <x:v>main</x:v>
      </x:c>
      <x:c r="H74" s="38" t="str">
        <x:v>Within Adamant.esp, the perk_entry_point implementation repeatedly uses: Mod Spell Duration | Multiply Value | float; observed center: 2.0</x:v>
      </x:c>
      <x:c r="I74" s="37" t="str">
        <x:v>36</x:v>
      </x:c>
      <x:c r="J74" s="37" t="str">
        <x:v>observed_patterns:perk_entry_point:Mod Spell Duration | Multiply Value | float</x:v>
      </x:c>
      <x:c r="K74" s="37" t="str">
        <x:v>descriptive_frequency</x:v>
      </x:c>
      <x:c r="L74" s="37" t="str">
        <x:v>mixed_or_external_missing</x:v>
      </x:c>
      <x:c r="M74" s="37" t="str">
        <x:v>alternative_profiles_present</x:v>
      </x:c>
      <x:c r="N74" s="37" t="str">
        <x:v>39</x:v>
      </x:c>
      <x:c r="O74" s="37" t="str"/>
      <x:c r="P74" s="37" t="str">
        <x:v>53</x:v>
      </x:c>
      <x:c r="Q74" s="37" t="str">
        <x:v>medium</x:v>
      </x:c>
      <x:c r="R74" s="37" t="str">
        <x:v>review_required</x:v>
      </x:c>
      <x:c r="S74" s="37" t="str">
        <x:v>False</x:v>
      </x:c>
      <x:c r="T74" s="38" t="str">
        <x:v>Do not promote without scope review, exception review, and author-intent/baseline corroboration.</x:v>
      </x:c>
      <x:c r="U74" s="37" t="str">
        <x:v>80</x:v>
      </x:c>
      <x:c r="V74" s="37" t="str">
        <x:v>high</x:v>
      </x:c>
      <x:c r="W74" s="37" t="str">
        <x:v>43</x:v>
      </x:c>
      <x:c r="X74" s="37" t="str">
        <x:v>low</x:v>
      </x:c>
      <x:c r="Y74" s="37" t="str">
        <x:v>53</x:v>
      </x:c>
      <x:c r="Z74" s="37" t="str">
        <x:v>medium</x:v>
      </x:c>
      <x:c r="AA74" s="38" t="str">
        <x:v>alternative_profiles_present;baseline_incomplete</x:v>
      </x:c>
      <x:c r="AB74" s="37" t="str">
        <x:v>review_required</x:v>
      </x:c>
    </x:row>
    <x:row r="75">
      <x:c r="A75" s="37" t="str">
        <x:v>RC-0074</x:v>
      </x:c>
      <x:c r="B75" s="37" t="str">
        <x:v>perk_entry_point</x:v>
      </x:c>
      <x:c r="C75" s="37" t="str">
        <x:v>observed_pattern</x:v>
      </x:c>
      <x:c r="D75" s="37" t="str">
        <x:v>repeated_implementation_profile</x:v>
      </x:c>
      <x:c r="E75" s="37" t="str">
        <x:v>Adamant</x:v>
      </x:c>
      <x:c r="F75" s="37" t="str">
        <x:v>Adamant.esp</x:v>
      </x:c>
      <x:c r="G75" s="37" t="str">
        <x:v>main</x:v>
      </x:c>
      <x:c r="H75" s="38" t="str">
        <x:v>Within Adamant.esp, the perk_entry_point implementation repeatedly uses: Mod Spell Magnitude | Add Value | float; observed center: 0.25</x:v>
      </x:c>
      <x:c r="I75" s="37" t="str">
        <x:v>4</x:v>
      </x:c>
      <x:c r="J75" s="37" t="str">
        <x:v>observed_patterns:perk_entry_point:Mod Spell Magnitude | Add Value | float</x:v>
      </x:c>
      <x:c r="K75" s="37" t="str">
        <x:v>descriptive_frequency</x:v>
      </x:c>
      <x:c r="L75" s="37" t="str">
        <x:v>mixed_or_external_missing</x:v>
      </x:c>
      <x:c r="M75" s="37" t="str">
        <x:v>alternative_profiles_present</x:v>
      </x:c>
      <x:c r="N75" s="37" t="str">
        <x:v>39</x:v>
      </x:c>
      <x:c r="O75" s="37" t="str"/>
      <x:c r="P75" s="37" t="str">
        <x:v>36</x:v>
      </x:c>
      <x:c r="Q75" s="37" t="str">
        <x:v>low</x:v>
      </x:c>
      <x:c r="R75" s="37" t="str">
        <x:v>review_required</x:v>
      </x:c>
      <x:c r="S75" s="37" t="str">
        <x:v>False</x:v>
      </x:c>
      <x:c r="T75" s="38" t="str">
        <x:v>Do not promote without scope review, exception review, and author-intent/baseline corroboration.</x:v>
      </x:c>
      <x:c r="U75" s="37" t="str">
        <x:v>55</x:v>
      </x:c>
      <x:c r="V75" s="37" t="str">
        <x:v>medium</x:v>
      </x:c>
      <x:c r="W75" s="37" t="str">
        <x:v>43</x:v>
      </x:c>
      <x:c r="X75" s="37" t="str">
        <x:v>low</x:v>
      </x:c>
      <x:c r="Y75" s="37" t="str">
        <x:v>40</x:v>
      </x:c>
      <x:c r="Z75" s="37" t="str">
        <x:v>low</x:v>
      </x:c>
      <x:c r="AA75" s="38" t="str">
        <x:v>alternative_profiles_present;baseline_incomplete</x:v>
      </x:c>
      <x:c r="AB75" s="37" t="str">
        <x:v>review_required</x:v>
      </x:c>
    </x:row>
    <x:row r="76">
      <x:c r="A76" s="37" t="str">
        <x:v>RC-0075</x:v>
      </x:c>
      <x:c r="B76" s="37" t="str">
        <x:v>perk_entry_point</x:v>
      </x:c>
      <x:c r="C76" s="37" t="str">
        <x:v>observed_pattern</x:v>
      </x:c>
      <x:c r="D76" s="37" t="str">
        <x:v>repeated_implementation_profile</x:v>
      </x:c>
      <x:c r="E76" s="37" t="str">
        <x:v>Adamant</x:v>
      </x:c>
      <x:c r="F76" s="37" t="str">
        <x:v>Adamant.esp</x:v>
      </x:c>
      <x:c r="G76" s="37" t="str">
        <x:v>main</x:v>
      </x:c>
      <x:c r="H76" s="38" t="str">
        <x:v>Within Adamant.esp, the perk_entry_point implementation repeatedly uses: Mod Spell Magnitude | Multiply Value | float; observed center: 1.5</x:v>
      </x:c>
      <x:c r="I76" s="37" t="str">
        <x:v>116</x:v>
      </x:c>
      <x:c r="J76" s="37" t="str">
        <x:v>observed_patterns:perk_entry_point:Mod Spell Magnitude | Multiply Value | float</x:v>
      </x:c>
      <x:c r="K76" s="37" t="str">
        <x:v>descriptive_frequency</x:v>
      </x:c>
      <x:c r="L76" s="37" t="str">
        <x:v>mixed_or_external_missing</x:v>
      </x:c>
      <x:c r="M76" s="37" t="str">
        <x:v>alternative_profiles_present</x:v>
      </x:c>
      <x:c r="N76" s="37" t="str">
        <x:v>39</x:v>
      </x:c>
      <x:c r="O76" s="37" t="str"/>
      <x:c r="P76" s="37" t="str">
        <x:v>53</x:v>
      </x:c>
      <x:c r="Q76" s="37" t="str">
        <x:v>medium</x:v>
      </x:c>
      <x:c r="R76" s="37" t="str">
        <x:v>review_required</x:v>
      </x:c>
      <x:c r="S76" s="37" t="str">
        <x:v>False</x:v>
      </x:c>
      <x:c r="T76" s="38" t="str">
        <x:v>Do not promote without scope review, exception review, and author-intent/baseline corroboration.</x:v>
      </x:c>
      <x:c r="U76" s="37" t="str">
        <x:v>80</x:v>
      </x:c>
      <x:c r="V76" s="37" t="str">
        <x:v>high</x:v>
      </x:c>
      <x:c r="W76" s="37" t="str">
        <x:v>43</x:v>
      </x:c>
      <x:c r="X76" s="37" t="str">
        <x:v>low</x:v>
      </x:c>
      <x:c r="Y76" s="37" t="str">
        <x:v>53</x:v>
      </x:c>
      <x:c r="Z76" s="37" t="str">
        <x:v>medium</x:v>
      </x:c>
      <x:c r="AA76" s="38" t="str">
        <x:v>alternative_profiles_present;baseline_incomplete</x:v>
      </x:c>
      <x:c r="AB76" s="37" t="str">
        <x:v>review_required</x:v>
      </x:c>
    </x:row>
    <x:row r="77">
      <x:c r="A77" s="37" t="str">
        <x:v>RC-0076</x:v>
      </x:c>
      <x:c r="B77" s="37" t="str">
        <x:v>perk_entry_point</x:v>
      </x:c>
      <x:c r="C77" s="37" t="str">
        <x:v>observed_pattern</x:v>
      </x:c>
      <x:c r="D77" s="37" t="str">
        <x:v>repeated_implementation_profile</x:v>
      </x:c>
      <x:c r="E77" s="37" t="str">
        <x:v>Adamant</x:v>
      </x:c>
      <x:c r="F77" s="37" t="str">
        <x:v>Adamant.esp</x:v>
      </x:c>
      <x:c r="G77" s="37" t="str">
        <x:v>main</x:v>
      </x:c>
      <x:c r="H77" s="38" t="str">
        <x:v>Within Adamant.esp, the perk_entry_point implementation repeatedly uses: Mod Tempering Health | Add Value | float; observed center: 0.10000000149011612</x:v>
      </x:c>
      <x:c r="I77" s="37" t="str">
        <x:v>5</x:v>
      </x:c>
      <x:c r="J77" s="37" t="str">
        <x:v>observed_patterns:perk_entry_point:Mod Tempering Health | Add Value | float</x:v>
      </x:c>
      <x:c r="K77" s="37" t="str">
        <x:v>descriptive_frequency</x:v>
      </x:c>
      <x:c r="L77" s="37" t="str">
        <x:v>mixed_or_external_missing</x:v>
      </x:c>
      <x:c r="M77" s="37" t="str">
        <x:v>alternative_profiles_present</x:v>
      </x:c>
      <x:c r="N77" s="37" t="str">
        <x:v>39</x:v>
      </x:c>
      <x:c r="O77" s="37" t="str"/>
      <x:c r="P77" s="37" t="str">
        <x:v>42</x:v>
      </x:c>
      <x:c r="Q77" s="37" t="str">
        <x:v>low</x:v>
      </x:c>
      <x:c r="R77" s="37" t="str">
        <x:v>review_required</x:v>
      </x:c>
      <x:c r="S77" s="37" t="str">
        <x:v>False</x:v>
      </x:c>
      <x:c r="T77" s="38" t="str">
        <x:v>Do not promote without scope review, exception review, and author-intent/baseline corroboration.</x:v>
      </x:c>
      <x:c r="U77" s="37" t="str">
        <x:v>62</x:v>
      </x:c>
      <x:c r="V77" s="37" t="str">
        <x:v>medium</x:v>
      </x:c>
      <x:c r="W77" s="37" t="str">
        <x:v>43</x:v>
      </x:c>
      <x:c r="X77" s="37" t="str">
        <x:v>low</x:v>
      </x:c>
      <x:c r="Y77" s="37" t="str">
        <x:v>43</x:v>
      </x:c>
      <x:c r="Z77" s="37" t="str">
        <x:v>low</x:v>
      </x:c>
      <x:c r="AA77" s="38" t="str">
        <x:v>alternative_profiles_present;baseline_incomplete</x:v>
      </x:c>
      <x:c r="AB77" s="37" t="str">
        <x:v>review_required</x:v>
      </x:c>
    </x:row>
    <x:row r="78">
      <x:c r="A78" s="37" t="str">
        <x:v>RC-0077</x:v>
      </x:c>
      <x:c r="B78" s="37" t="str">
        <x:v>perk_entry_point</x:v>
      </x:c>
      <x:c r="C78" s="37" t="str">
        <x:v>observed_pattern</x:v>
      </x:c>
      <x:c r="D78" s="37" t="str">
        <x:v>repeated_implementation_profile</x:v>
      </x:c>
      <x:c r="E78" s="37" t="str">
        <x:v>Adamant</x:v>
      </x:c>
      <x:c r="F78" s="37" t="str">
        <x:v>Adamant.esp</x:v>
      </x:c>
      <x:c r="G78" s="37" t="str">
        <x:v>main</x:v>
      </x:c>
      <x:c r="H78" s="38" t="str">
        <x:v>Within Adamant.esp, the perk_entry_point implementation repeatedly uses: Set Boolean Graph Variable | Select Text | text</x:v>
      </x:c>
      <x:c r="I78" s="37" t="str">
        <x:v>3</x:v>
      </x:c>
      <x:c r="J78" s="37" t="str">
        <x:v>observed_patterns:perk_entry_point:Set Boolean Graph Variable | Select Text | text</x:v>
      </x:c>
      <x:c r="K78" s="37" t="str">
        <x:v>descriptive_frequency</x:v>
      </x:c>
      <x:c r="L78" s="37" t="str">
        <x:v>mixed_or_external_missing</x:v>
      </x:c>
      <x:c r="M78" s="37" t="str">
        <x:v>alternative_profiles_present</x:v>
      </x:c>
      <x:c r="N78" s="37" t="str">
        <x:v>39</x:v>
      </x:c>
      <x:c r="O78" s="37" t="str"/>
      <x:c r="P78" s="37" t="str">
        <x:v>36</x:v>
      </x:c>
      <x:c r="Q78" s="37" t="str">
        <x:v>low</x:v>
      </x:c>
      <x:c r="R78" s="37" t="str">
        <x:v>review_required</x:v>
      </x:c>
      <x:c r="S78" s="37" t="str">
        <x:v>False</x:v>
      </x:c>
      <x:c r="T78" s="38" t="str">
        <x:v>Do not promote without scope review, exception review, and author-intent/baseline corroboration.</x:v>
      </x:c>
      <x:c r="U78" s="37" t="str">
        <x:v>55</x:v>
      </x:c>
      <x:c r="V78" s="37" t="str">
        <x:v>medium</x:v>
      </x:c>
      <x:c r="W78" s="37" t="str">
        <x:v>43</x:v>
      </x:c>
      <x:c r="X78" s="37" t="str">
        <x:v>low</x:v>
      </x:c>
      <x:c r="Y78" s="37" t="str">
        <x:v>40</x:v>
      </x:c>
      <x:c r="Z78" s="37" t="str">
        <x:v>low</x:v>
      </x:c>
      <x:c r="AA78" s="38" t="str">
        <x:v>alternative_profiles_present;baseline_incomplete</x:v>
      </x:c>
      <x:c r="AB78" s="37" t="str">
        <x:v>review_required</x:v>
      </x:c>
    </x:row>
    <x:row r="79">
      <x:c r="A79" s="37" t="str">
        <x:v>RC-0078</x:v>
      </x:c>
      <x:c r="B79" s="37" t="str">
        <x:v>perk_entry_point</x:v>
      </x:c>
      <x:c r="C79" s="37" t="str">
        <x:v>observed_pattern</x:v>
      </x:c>
      <x:c r="D79" s="37" t="str">
        <x:v>repeated_implementation_profile</x:v>
      </x:c>
      <x:c r="E79" s="37" t="str">
        <x:v>Adamant</x:v>
      </x:c>
      <x:c r="F79" s="37" t="str">
        <x:v>AdamantBlade.esp</x:v>
      </x:c>
      <x:c r="G79" s="37" t="str">
        <x:v>integration_addon</x:v>
      </x:c>
      <x:c r="H79" s="38" t="str">
        <x:v>Within AdamantBlade.esp, the perk_entry_point implementation repeatedly uses: Mod Incoming Spell Magnitude | Multiply Value | float; observed center: 0.5</x:v>
      </x:c>
      <x:c r="I79" s="37" t="str">
        <x:v>3</x:v>
      </x:c>
      <x:c r="J79" s="37" t="str">
        <x:v>observed_patterns:perk_entry_point:Mod Incoming Spell Magnitude | Multiply Value | float</x:v>
      </x:c>
      <x:c r="K79" s="37" t="str">
        <x:v>descriptive_frequency</x:v>
      </x:c>
      <x:c r="L79" s="37" t="str">
        <x:v>exact_imported_or_local</x:v>
      </x:c>
      <x:c r="M79" s="37" t="str">
        <x:v>alternative_profiles_present</x:v>
      </x:c>
      <x:c r="N79" s="37" t="str">
        <x:v>2</x:v>
      </x:c>
      <x:c r="O79" s="37" t="str">
        <x:v>optional_or_integration_addon</x:v>
      </x:c>
      <x:c r="P79" s="37" t="str">
        <x:v>10</x:v>
      </x:c>
      <x:c r="Q79" s="37" t="str">
        <x:v>low</x:v>
      </x:c>
      <x:c r="R79" s="37" t="str">
        <x:v>review_required</x:v>
      </x:c>
      <x:c r="S79" s="37" t="str">
        <x:v>False</x:v>
      </x:c>
      <x:c r="T79" s="38" t="str">
        <x:v>Do not promote without scope review, exception review, and author-intent/baseline corroboration.</x:v>
      </x:c>
      <x:c r="U79" s="37" t="str">
        <x:v>55</x:v>
      </x:c>
      <x:c r="V79" s="37" t="str">
        <x:v>medium</x:v>
      </x:c>
      <x:c r="W79" s="37" t="str">
        <x:v>30</x:v>
      </x:c>
      <x:c r="X79" s="37" t="str">
        <x:v>low</x:v>
      </x:c>
      <x:c r="Y79" s="37" t="str">
        <x:v>34</x:v>
      </x:c>
      <x:c r="Z79" s="37" t="str">
        <x:v>low</x:v>
      </x:c>
      <x:c r="AA79" s="38" t="str">
        <x:v>alternative_profiles_present;optional_or_integration_addon</x:v>
      </x:c>
      <x:c r="AB79" s="37" t="str">
        <x:v>review_required</x:v>
      </x:c>
    </x:row>
    <x:row r="80">
      <x:c r="A80" s="37" t="str">
        <x:v>RC-0079</x:v>
      </x:c>
      <x:c r="B80" s="37" t="str">
        <x:v>perk_entry_point</x:v>
      </x:c>
      <x:c r="C80" s="37" t="str">
        <x:v>observed_pattern</x:v>
      </x:c>
      <x:c r="D80" s="37" t="str">
        <x:v>repeated_implementation_profile</x:v>
      </x:c>
      <x:c r="E80" s="37" t="str">
        <x:v>Adamant</x:v>
      </x:c>
      <x:c r="F80" s="37" t="str">
        <x:v>AdamantBlade.esp</x:v>
      </x:c>
      <x:c r="G80" s="37" t="str">
        <x:v>integration_addon</x:v>
      </x:c>
      <x:c r="H80" s="38" t="str">
        <x:v>Within AdamantBlade.esp, the perk_entry_point implementation repeatedly uses: Mod Spell Duration | Add Value | float; observed center: 0.5</x:v>
      </x:c>
      <x:c r="I80" s="37" t="str">
        <x:v>4</x:v>
      </x:c>
      <x:c r="J80" s="37" t="str">
        <x:v>observed_patterns:perk_entry_point:Mod Spell Duration | Add Value | float</x:v>
      </x:c>
      <x:c r="K80" s="37" t="str">
        <x:v>descriptive_frequency</x:v>
      </x:c>
      <x:c r="L80" s="37" t="str">
        <x:v>exact_imported_or_local</x:v>
      </x:c>
      <x:c r="M80" s="37" t="str">
        <x:v>alternative_profiles_present</x:v>
      </x:c>
      <x:c r="N80" s="37" t="str">
        <x:v>2</x:v>
      </x:c>
      <x:c r="O80" s="37" t="str">
        <x:v>optional_or_integration_addon</x:v>
      </x:c>
      <x:c r="P80" s="37" t="str">
        <x:v>10</x:v>
      </x:c>
      <x:c r="Q80" s="37" t="str">
        <x:v>low</x:v>
      </x:c>
      <x:c r="R80" s="37" t="str">
        <x:v>review_required</x:v>
      </x:c>
      <x:c r="S80" s="37" t="str">
        <x:v>False</x:v>
      </x:c>
      <x:c r="T80" s="38" t="str">
        <x:v>Do not promote without scope review, exception review, and author-intent/baseline corroboration.</x:v>
      </x:c>
      <x:c r="U80" s="37" t="str">
        <x:v>55</x:v>
      </x:c>
      <x:c r="V80" s="37" t="str">
        <x:v>medium</x:v>
      </x:c>
      <x:c r="W80" s="37" t="str">
        <x:v>30</x:v>
      </x:c>
      <x:c r="X80" s="37" t="str">
        <x:v>low</x:v>
      </x:c>
      <x:c r="Y80" s="37" t="str">
        <x:v>34</x:v>
      </x:c>
      <x:c r="Z80" s="37" t="str">
        <x:v>low</x:v>
      </x:c>
      <x:c r="AA80" s="38" t="str">
        <x:v>alternative_profiles_present;optional_or_integration_addon</x:v>
      </x:c>
      <x:c r="AB80" s="37" t="str">
        <x:v>review_required</x:v>
      </x:c>
    </x:row>
    <x:row r="81">
      <x:c r="A81" s="37" t="str">
        <x:v>RC-0080</x:v>
      </x:c>
      <x:c r="B81" s="37" t="str">
        <x:v>perk_entry_point</x:v>
      </x:c>
      <x:c r="C81" s="37" t="str">
        <x:v>observed_pattern</x:v>
      </x:c>
      <x:c r="D81" s="37" t="str">
        <x:v>repeated_implementation_profile</x:v>
      </x:c>
      <x:c r="E81" s="37" t="str">
        <x:v>Adamant</x:v>
      </x:c>
      <x:c r="F81" s="37" t="str">
        <x:v>AdamantBlade.esp</x:v>
      </x:c>
      <x:c r="G81" s="37" t="str">
        <x:v>integration_addon</x:v>
      </x:c>
      <x:c r="H81" s="38" t="str">
        <x:v>Within AdamantBlade.esp, the perk_entry_point implementation repeatedly uses: Mod Spell Magnitude | Add Value | float; observed center: 0.25</x:v>
      </x:c>
      <x:c r="I81" s="37" t="str">
        <x:v>4</x:v>
      </x:c>
      <x:c r="J81" s="37" t="str">
        <x:v>observed_patterns:perk_entry_point:Mod Spell Magnitude | Add Value | float</x:v>
      </x:c>
      <x:c r="K81" s="37" t="str">
        <x:v>descriptive_frequency</x:v>
      </x:c>
      <x:c r="L81" s="37" t="str">
        <x:v>exact_imported_or_local</x:v>
      </x:c>
      <x:c r="M81" s="37" t="str">
        <x:v>alternative_profiles_present</x:v>
      </x:c>
      <x:c r="N81" s="37" t="str">
        <x:v>2</x:v>
      </x:c>
      <x:c r="O81" s="37" t="str">
        <x:v>optional_or_integration_addon</x:v>
      </x:c>
      <x:c r="P81" s="37" t="str">
        <x:v>10</x:v>
      </x:c>
      <x:c r="Q81" s="37" t="str">
        <x:v>low</x:v>
      </x:c>
      <x:c r="R81" s="37" t="str">
        <x:v>review_required</x:v>
      </x:c>
      <x:c r="S81" s="37" t="str">
        <x:v>False</x:v>
      </x:c>
      <x:c r="T81" s="38" t="str">
        <x:v>Do not promote without scope review, exception review, and author-intent/baseline corroboration.</x:v>
      </x:c>
      <x:c r="U81" s="37" t="str">
        <x:v>55</x:v>
      </x:c>
      <x:c r="V81" s="37" t="str">
        <x:v>medium</x:v>
      </x:c>
      <x:c r="W81" s="37" t="str">
        <x:v>30</x:v>
      </x:c>
      <x:c r="X81" s="37" t="str">
        <x:v>low</x:v>
      </x:c>
      <x:c r="Y81" s="37" t="str">
        <x:v>34</x:v>
      </x:c>
      <x:c r="Z81" s="37" t="str">
        <x:v>low</x:v>
      </x:c>
      <x:c r="AA81" s="38" t="str">
        <x:v>alternative_profiles_present;optional_or_integration_addon</x:v>
      </x:c>
      <x:c r="AB81" s="37" t="str">
        <x:v>review_required</x:v>
      </x:c>
    </x:row>
    <x:row r="82">
      <x:c r="A82" s="37" t="str">
        <x:v>RC-0081</x:v>
      </x:c>
      <x:c r="B82" s="37" t="str">
        <x:v>perk_entry_point</x:v>
      </x:c>
      <x:c r="C82" s="37" t="str">
        <x:v>observed_pattern</x:v>
      </x:c>
      <x:c r="D82" s="37" t="str">
        <x:v>repeated_implementation_profile</x:v>
      </x:c>
      <x:c r="E82" s="37" t="str">
        <x:v>Adamant</x:v>
      </x:c>
      <x:c r="F82" s="37" t="str">
        <x:v>AdamantCrossbows.esp</x:v>
      </x:c>
      <x:c r="G82" s="37" t="str">
        <x:v>integration_addon</x:v>
      </x:c>
      <x:c r="H82" s="38" t="str">
        <x:v>Within AdamantCrossbows.esp, the perk_entry_point implementation repeatedly uses: Apply Combat Hit Spell | Select Spell | spell</x:v>
      </x:c>
      <x:c r="I82" s="37" t="str">
        <x:v>6</x:v>
      </x:c>
      <x:c r="J82" s="37" t="str">
        <x:v>observed_patterns:perk_entry_point:Apply Combat Hit Spell | Select Spell | spell</x:v>
      </x:c>
      <x:c r="K82" s="37" t="str">
        <x:v>descriptive_frequency</x:v>
      </x:c>
      <x:c r="L82" s="37" t="str">
        <x:v>exact_imported_or_local</x:v>
      </x:c>
      <x:c r="M82" s="37" t="str">
        <x:v>no_alternative_profile_in_current_grouping</x:v>
      </x:c>
      <x:c r="N82" s="37" t="str">
        <x:v>0</x:v>
      </x:c>
      <x:c r="O82" s="37" t="str">
        <x:v>optional_or_integration_addon</x:v>
      </x:c>
      <x:c r="P82" s="37" t="str">
        <x:v>16</x:v>
      </x:c>
      <x:c r="Q82" s="37" t="str">
        <x:v>low</x:v>
      </x:c>
      <x:c r="R82" s="37" t="str">
        <x:v>review_required</x:v>
      </x:c>
      <x:c r="S82" s="37" t="str">
        <x:v>False</x:v>
      </x:c>
      <x:c r="T82" s="38" t="str">
        <x:v>Do not promote without scope review, exception review, and author-intent/baseline corroboration.</x:v>
      </x:c>
      <x:c r="U82" s="37" t="str">
        <x:v>62</x:v>
      </x:c>
      <x:c r="V82" s="37" t="str">
        <x:v>medium</x:v>
      </x:c>
      <x:c r="W82" s="37" t="str">
        <x:v>30</x:v>
      </x:c>
      <x:c r="X82" s="37" t="str">
        <x:v>low</x:v>
      </x:c>
      <x:c r="Y82" s="37" t="str">
        <x:v>43</x:v>
      </x:c>
      <x:c r="Z82" s="37" t="str">
        <x:v>low</x:v>
      </x:c>
      <x:c r="AA82" s="38" t="str">
        <x:v>optional_or_integration_addon</x:v>
      </x:c>
      <x:c r="AB82" s="37" t="str">
        <x:v>review_required</x:v>
      </x:c>
    </x:row>
    <x:row r="83">
      <x:c r="A83" s="37" t="str">
        <x:v>RC-0082</x:v>
      </x:c>
      <x:c r="B83" s="37" t="str">
        <x:v>perk_entry_point</x:v>
      </x:c>
      <x:c r="C83" s="37" t="str">
        <x:v>observed_pattern</x:v>
      </x:c>
      <x:c r="D83" s="37" t="str">
        <x:v>repeated_implementation_profile</x:v>
      </x:c>
      <x:c r="E83" s="37" t="str">
        <x:v>Adamant</x:v>
      </x:c>
      <x:c r="F83" s="37" t="str">
        <x:v>AdamantSmithing.esp</x:v>
      </x:c>
      <x:c r="G83" s="37" t="str">
        <x:v>feature_addon</x:v>
      </x:c>
      <x:c r="H83" s="38" t="str">
        <x:v>Within AdamantSmithing.esp, the perk_entry_point implementation repeatedly uses: Mod Tempering Health | Add Value | float; observed center: 0.10000000149011612</x:v>
      </x:c>
      <x:c r="I83" s="37" t="str">
        <x:v>4</x:v>
      </x:c>
      <x:c r="J83" s="37" t="str">
        <x:v>observed_patterns:perk_entry_point:Mod Tempering Health | Add Value | float</x:v>
      </x:c>
      <x:c r="K83" s="37" t="str">
        <x:v>descriptive_frequency</x:v>
      </x:c>
      <x:c r="L83" s="37" t="str">
        <x:v>exact_imported_or_local</x:v>
      </x:c>
      <x:c r="M83" s="37" t="str">
        <x:v>no_alternative_profile_in_current_grouping</x:v>
      </x:c>
      <x:c r="N83" s="37" t="str">
        <x:v>0</x:v>
      </x:c>
      <x:c r="O83" s="37" t="str">
        <x:v>optional_or_integration_addon</x:v>
      </x:c>
      <x:c r="P83" s="37" t="str">
        <x:v>10</x:v>
      </x:c>
      <x:c r="Q83" s="37" t="str">
        <x:v>low</x:v>
      </x:c>
      <x:c r="R83" s="37" t="str">
        <x:v>review_required</x:v>
      </x:c>
      <x:c r="S83" s="37" t="str">
        <x:v>False</x:v>
      </x:c>
      <x:c r="T83" s="38" t="str">
        <x:v>Do not promote without scope review, exception review, and author-intent/baseline corroboration.</x:v>
      </x:c>
      <x:c r="U83" s="37" t="str">
        <x:v>55</x:v>
      </x:c>
      <x:c r="V83" s="37" t="str">
        <x:v>medium</x:v>
      </x:c>
      <x:c r="W83" s="37" t="str">
        <x:v>30</x:v>
      </x:c>
      <x:c r="X83" s="37" t="str">
        <x:v>low</x:v>
      </x:c>
      <x:c r="Y83" s="37" t="str">
        <x:v>39</x:v>
      </x:c>
      <x:c r="Z83" s="37" t="str">
        <x:v>low</x:v>
      </x:c>
      <x:c r="AA83" s="38" t="str">
        <x:v>optional_or_integration_addon</x:v>
      </x:c>
      <x:c r="AB83" s="37" t="str">
        <x:v>review_required</x:v>
      </x:c>
    </x:row>
    <x:row r="84">
      <x:c r="A84" s="37" t="str">
        <x:v>RC-0083</x:v>
      </x:c>
      <x:c r="B84" s="37" t="str">
        <x:v>perk_entry_point</x:v>
      </x:c>
      <x:c r="C84" s="37" t="str">
        <x:v>observed_pattern</x:v>
      </x:c>
      <x:c r="D84" s="37" t="str">
        <x:v>repeated_implementation_profile</x:v>
      </x:c>
      <x:c r="E84" s="37" t="str">
        <x:v>Blade and Blunt</x:v>
      </x:c>
      <x:c r="F84" s="37" t="str">
        <x:v>BladeAndBlunt.esp</x:v>
      </x:c>
      <x:c r="G84" s="37" t="str">
        <x:v>main</x:v>
      </x:c>
      <x:c r="H84" s="38" t="str">
        <x:v>Within BladeAndBlunt.esp, the perk_entry_point implementation repeatedly uses: Apply Bashing Spell | Select Spell | spell</x:v>
      </x:c>
      <x:c r="I84" s="37" t="str">
        <x:v>9</x:v>
      </x:c>
      <x:c r="J84" s="37" t="str">
        <x:v>observed_patterns:perk_entry_point:Apply Bashing Spell | Select Spell | spell</x:v>
      </x:c>
      <x:c r="K84" s="37" t="str">
        <x:v>descriptive_frequency</x:v>
      </x:c>
      <x:c r="L84" s="37" t="str">
        <x:v>mixed_or_external_missing</x:v>
      </x:c>
      <x:c r="M84" s="37" t="str">
        <x:v>alternative_profiles_present</x:v>
      </x:c>
      <x:c r="N84" s="37" t="str">
        <x:v>18</x:v>
      </x:c>
      <x:c r="O84" s="37" t="str"/>
      <x:c r="P84" s="37" t="str">
        <x:v>42</x:v>
      </x:c>
      <x:c r="Q84" s="37" t="str">
        <x:v>low</x:v>
      </x:c>
      <x:c r="R84" s="37" t="str">
        <x:v>review_required</x:v>
      </x:c>
      <x:c r="S84" s="37" t="str">
        <x:v>False</x:v>
      </x:c>
      <x:c r="T84" s="38" t="str">
        <x:v>Do not promote without scope review, exception review, and author-intent/baseline corroboration.</x:v>
      </x:c>
      <x:c r="U84" s="37" t="str">
        <x:v>62</x:v>
      </x:c>
      <x:c r="V84" s="37" t="str">
        <x:v>medium</x:v>
      </x:c>
      <x:c r="W84" s="37" t="str">
        <x:v>43</x:v>
      </x:c>
      <x:c r="X84" s="37" t="str">
        <x:v>low</x:v>
      </x:c>
      <x:c r="Y84" s="37" t="str">
        <x:v>43</x:v>
      </x:c>
      <x:c r="Z84" s="37" t="str">
        <x:v>low</x:v>
      </x:c>
      <x:c r="AA84" s="38" t="str">
        <x:v>alternative_profiles_present;baseline_incomplete</x:v>
      </x:c>
      <x:c r="AB84" s="37" t="str">
        <x:v>review_required</x:v>
      </x:c>
    </x:row>
    <x:row r="85">
      <x:c r="A85" s="37" t="str">
        <x:v>RC-0084</x:v>
      </x:c>
      <x:c r="B85" s="37" t="str">
        <x:v>perk_entry_point</x:v>
      </x:c>
      <x:c r="C85" s="37" t="str">
        <x:v>observed_pattern</x:v>
      </x:c>
      <x:c r="D85" s="37" t="str">
        <x:v>repeated_implementation_profile</x:v>
      </x:c>
      <x:c r="E85" s="37" t="str">
        <x:v>Blade and Blunt</x:v>
      </x:c>
      <x:c r="F85" s="37" t="str">
        <x:v>BladeAndBlunt.esp</x:v>
      </x:c>
      <x:c r="G85" s="37" t="str">
        <x:v>main</x:v>
      </x:c>
      <x:c r="H85" s="38" t="str">
        <x:v>Within BladeAndBlunt.esp, the perk_entry_point implementation repeatedly uses: Apply Combat Hit Spell | Select Spell | spell</x:v>
      </x:c>
      <x:c r="I85" s="37" t="str">
        <x:v>19</x:v>
      </x:c>
      <x:c r="J85" s="37" t="str">
        <x:v>observed_patterns:perk_entry_point:Apply Combat Hit Spell | Select Spell | spell</x:v>
      </x:c>
      <x:c r="K85" s="37" t="str">
        <x:v>descriptive_frequency</x:v>
      </x:c>
      <x:c r="L85" s="37" t="str">
        <x:v>mixed_or_external_missing</x:v>
      </x:c>
      <x:c r="M85" s="37" t="str">
        <x:v>alternative_profiles_present</x:v>
      </x:c>
      <x:c r="N85" s="37" t="str">
        <x:v>18</x:v>
      </x:c>
      <x:c r="O85" s="37" t="str"/>
      <x:c r="P85" s="37" t="str">
        <x:v>48</x:v>
      </x:c>
      <x:c r="Q85" s="37" t="str">
        <x:v>low</x:v>
      </x:c>
      <x:c r="R85" s="37" t="str">
        <x:v>review_required</x:v>
      </x:c>
      <x:c r="S85" s="37" t="str">
        <x:v>False</x:v>
      </x:c>
      <x:c r="T85" s="38" t="str">
        <x:v>Do not promote without scope review, exception review, and author-intent/baseline corroboration.</x:v>
      </x:c>
      <x:c r="U85" s="37" t="str">
        <x:v>70</x:v>
      </x:c>
      <x:c r="V85" s="37" t="str">
        <x:v>medium</x:v>
      </x:c>
      <x:c r="W85" s="37" t="str">
        <x:v>43</x:v>
      </x:c>
      <x:c r="X85" s="37" t="str">
        <x:v>low</x:v>
      </x:c>
      <x:c r="Y85" s="37" t="str">
        <x:v>48</x:v>
      </x:c>
      <x:c r="Z85" s="37" t="str">
        <x:v>low</x:v>
      </x:c>
      <x:c r="AA85" s="38" t="str">
        <x:v>alternative_profiles_present;baseline_incomplete</x:v>
      </x:c>
      <x:c r="AB85" s="37" t="str">
        <x:v>review_required</x:v>
      </x:c>
    </x:row>
    <x:row r="86">
      <x:c r="A86" s="37" t="str">
        <x:v>RC-0085</x:v>
      </x:c>
      <x:c r="B86" s="37" t="str">
        <x:v>perk_entry_point</x:v>
      </x:c>
      <x:c r="C86" s="37" t="str">
        <x:v>observed_pattern</x:v>
      </x:c>
      <x:c r="D86" s="37" t="str">
        <x:v>repeated_implementation_profile</x:v>
      </x:c>
      <x:c r="E86" s="37" t="str">
        <x:v>Blade and Blunt</x:v>
      </x:c>
      <x:c r="F86" s="37" t="str">
        <x:v>BladeAndBlunt.esp</x:v>
      </x:c>
      <x:c r="G86" s="37" t="str">
        <x:v>main</x:v>
      </x:c>
      <x:c r="H86" s="38" t="str">
        <x:v>Within BladeAndBlunt.esp, the perk_entry_point implementation repeatedly uses: Calculate My Critical Hit Damage | Multiply Value | float; observed center: 1.5</x:v>
      </x:c>
      <x:c r="I86" s="37" t="str">
        <x:v>6</x:v>
      </x:c>
      <x:c r="J86" s="37" t="str">
        <x:v>observed_patterns:perk_entry_point:Calculate My Critical Hit Damage | Multiply Value | float</x:v>
      </x:c>
      <x:c r="K86" s="37" t="str">
        <x:v>descriptive_frequency</x:v>
      </x:c>
      <x:c r="L86" s="37" t="str">
        <x:v>mixed_or_external_missing</x:v>
      </x:c>
      <x:c r="M86" s="37" t="str">
        <x:v>alternative_profiles_present</x:v>
      </x:c>
      <x:c r="N86" s="37" t="str">
        <x:v>18</x:v>
      </x:c>
      <x:c r="O86" s="37" t="str"/>
      <x:c r="P86" s="37" t="str">
        <x:v>42</x:v>
      </x:c>
      <x:c r="Q86" s="37" t="str">
        <x:v>low</x:v>
      </x:c>
      <x:c r="R86" s="37" t="str">
        <x:v>review_required</x:v>
      </x:c>
      <x:c r="S86" s="37" t="str">
        <x:v>False</x:v>
      </x:c>
      <x:c r="T86" s="38" t="str">
        <x:v>Do not promote without scope review, exception review, and author-intent/baseline corroboration.</x:v>
      </x:c>
      <x:c r="U86" s="37" t="str">
        <x:v>62</x:v>
      </x:c>
      <x:c r="V86" s="37" t="str">
        <x:v>medium</x:v>
      </x:c>
      <x:c r="W86" s="37" t="str">
        <x:v>43</x:v>
      </x:c>
      <x:c r="X86" s="37" t="str">
        <x:v>low</x:v>
      </x:c>
      <x:c r="Y86" s="37" t="str">
        <x:v>43</x:v>
      </x:c>
      <x:c r="Z86" s="37" t="str">
        <x:v>low</x:v>
      </x:c>
      <x:c r="AA86" s="38" t="str">
        <x:v>alternative_profiles_present;baseline_incomplete</x:v>
      </x:c>
      <x:c r="AB86" s="37" t="str">
        <x:v>review_required</x:v>
      </x:c>
    </x:row>
    <x:row r="87">
      <x:c r="A87" s="37" t="str">
        <x:v>RC-0086</x:v>
      </x:c>
      <x:c r="B87" s="37" t="str">
        <x:v>perk_entry_point</x:v>
      </x:c>
      <x:c r="C87" s="37" t="str">
        <x:v>observed_pattern</x:v>
      </x:c>
      <x:c r="D87" s="37" t="str">
        <x:v>repeated_implementation_profile</x:v>
      </x:c>
      <x:c r="E87" s="37" t="str">
        <x:v>Blade and Blunt</x:v>
      </x:c>
      <x:c r="F87" s="37" t="str">
        <x:v>BladeAndBlunt.esp</x:v>
      </x:c>
      <x:c r="G87" s="37" t="str">
        <x:v>main</x:v>
      </x:c>
      <x:c r="H87" s="38" t="str">
        <x:v>Within BladeAndBlunt.esp, the perk_entry_point implementation repeatedly uses: Mod Attack Damage | Multiply Value | float; observed center: 1.5</x:v>
      </x:c>
      <x:c r="I87" s="37" t="str">
        <x:v>14</x:v>
      </x:c>
      <x:c r="J87" s="37" t="str">
        <x:v>observed_patterns:perk_entry_point:Mod Attack Damage | Multiply Value | float</x:v>
      </x:c>
      <x:c r="K87" s="37" t="str">
        <x:v>descriptive_frequency</x:v>
      </x:c>
      <x:c r="L87" s="37" t="str">
        <x:v>mixed_or_external_missing</x:v>
      </x:c>
      <x:c r="M87" s="37" t="str">
        <x:v>alternative_profiles_present</x:v>
      </x:c>
      <x:c r="N87" s="37" t="str">
        <x:v>18</x:v>
      </x:c>
      <x:c r="O87" s="37" t="str"/>
      <x:c r="P87" s="37" t="str">
        <x:v>48</x:v>
      </x:c>
      <x:c r="Q87" s="37" t="str">
        <x:v>low</x:v>
      </x:c>
      <x:c r="R87" s="37" t="str">
        <x:v>review_required</x:v>
      </x:c>
      <x:c r="S87" s="37" t="str">
        <x:v>False</x:v>
      </x:c>
      <x:c r="T87" s="38" t="str">
        <x:v>Do not promote without scope review, exception review, and author-intent/baseline corroboration.</x:v>
      </x:c>
      <x:c r="U87" s="37" t="str">
        <x:v>70</x:v>
      </x:c>
      <x:c r="V87" s="37" t="str">
        <x:v>medium</x:v>
      </x:c>
      <x:c r="W87" s="37" t="str">
        <x:v>43</x:v>
      </x:c>
      <x:c r="X87" s="37" t="str">
        <x:v>low</x:v>
      </x:c>
      <x:c r="Y87" s="37" t="str">
        <x:v>48</x:v>
      </x:c>
      <x:c r="Z87" s="37" t="str">
        <x:v>low</x:v>
      </x:c>
      <x:c r="AA87" s="38" t="str">
        <x:v>alternative_profiles_present;baseline_incomplete</x:v>
      </x:c>
      <x:c r="AB87" s="37" t="str">
        <x:v>review_required</x:v>
      </x:c>
    </x:row>
    <x:row r="88">
      <x:c r="A88" s="37" t="str">
        <x:v>RC-0087</x:v>
      </x:c>
      <x:c r="B88" s="37" t="str">
        <x:v>perk_entry_point</x:v>
      </x:c>
      <x:c r="C88" s="37" t="str">
        <x:v>observed_pattern</x:v>
      </x:c>
      <x:c r="D88" s="37" t="str">
        <x:v>repeated_implementation_profile</x:v>
      </x:c>
      <x:c r="E88" s="37" t="str">
        <x:v>Blade and Blunt</x:v>
      </x:c>
      <x:c r="F88" s="37" t="str">
        <x:v>BladeAndBlunt.esp</x:v>
      </x:c>
      <x:c r="G88" s="37" t="str">
        <x:v>main</x:v>
      </x:c>
      <x:c r="H88" s="38" t="str">
        <x:v>Within BladeAndBlunt.esp, the perk_entry_point implementation repeatedly uses: Mod Bow Zoom | Set Value | float; observed center: 0.25</x:v>
      </x:c>
      <x:c r="I88" s="37" t="str">
        <x:v>7</x:v>
      </x:c>
      <x:c r="J88" s="37" t="str">
        <x:v>observed_patterns:perk_entry_point:Mod Bow Zoom | Set Value | float</x:v>
      </x:c>
      <x:c r="K88" s="37" t="str">
        <x:v>descriptive_frequency</x:v>
      </x:c>
      <x:c r="L88" s="37" t="str">
        <x:v>mixed_or_external_missing</x:v>
      </x:c>
      <x:c r="M88" s="37" t="str">
        <x:v>alternative_profiles_present</x:v>
      </x:c>
      <x:c r="N88" s="37" t="str">
        <x:v>18</x:v>
      </x:c>
      <x:c r="O88" s="37" t="str"/>
      <x:c r="P88" s="37" t="str">
        <x:v>42</x:v>
      </x:c>
      <x:c r="Q88" s="37" t="str">
        <x:v>low</x:v>
      </x:c>
      <x:c r="R88" s="37" t="str">
        <x:v>review_required</x:v>
      </x:c>
      <x:c r="S88" s="37" t="str">
        <x:v>False</x:v>
      </x:c>
      <x:c r="T88" s="38" t="str">
        <x:v>Do not promote without scope review, exception review, and author-intent/baseline corroboration.</x:v>
      </x:c>
      <x:c r="U88" s="37" t="str">
        <x:v>62</x:v>
      </x:c>
      <x:c r="V88" s="37" t="str">
        <x:v>medium</x:v>
      </x:c>
      <x:c r="W88" s="37" t="str">
        <x:v>43</x:v>
      </x:c>
      <x:c r="X88" s="37" t="str">
        <x:v>low</x:v>
      </x:c>
      <x:c r="Y88" s="37" t="str">
        <x:v>43</x:v>
      </x:c>
      <x:c r="Z88" s="37" t="str">
        <x:v>low</x:v>
      </x:c>
      <x:c r="AA88" s="38" t="str">
        <x:v>alternative_profiles_present;baseline_incomplete</x:v>
      </x:c>
      <x:c r="AB88" s="37" t="str">
        <x:v>review_required</x:v>
      </x:c>
    </x:row>
    <x:row r="89">
      <x:c r="A89" s="37" t="str">
        <x:v>RC-0088</x:v>
      </x:c>
      <x:c r="B89" s="37" t="str">
        <x:v>perk_entry_point</x:v>
      </x:c>
      <x:c r="C89" s="37" t="str">
        <x:v>observed_pattern</x:v>
      </x:c>
      <x:c r="D89" s="37" t="str">
        <x:v>repeated_implementation_profile</x:v>
      </x:c>
      <x:c r="E89" s="37" t="str">
        <x:v>Blade and Blunt</x:v>
      </x:c>
      <x:c r="F89" s="37" t="str">
        <x:v>BladeAndBlunt.esp</x:v>
      </x:c>
      <x:c r="G89" s="37" t="str">
        <x:v>main</x:v>
      </x:c>
      <x:c r="H89" s="38" t="str">
        <x:v>Within BladeAndBlunt.esp, the perk_entry_point implementation repeatedly uses: Mod Incoming Damage | Multiply Value | float; observed center: 1.3300000429153442</x:v>
      </x:c>
      <x:c r="I89" s="37" t="str">
        <x:v>3</x:v>
      </x:c>
      <x:c r="J89" s="37" t="str">
        <x:v>observed_patterns:perk_entry_point:Mod Incoming Damage | Multiply Value | float</x:v>
      </x:c>
      <x:c r="K89" s="37" t="str">
        <x:v>descriptive_frequency</x:v>
      </x:c>
      <x:c r="L89" s="37" t="str">
        <x:v>mixed_or_external_missing</x:v>
      </x:c>
      <x:c r="M89" s="37" t="str">
        <x:v>alternative_profiles_present</x:v>
      </x:c>
      <x:c r="N89" s="37" t="str">
        <x:v>18</x:v>
      </x:c>
      <x:c r="O89" s="37" t="str"/>
      <x:c r="P89" s="37" t="str">
        <x:v>36</x:v>
      </x:c>
      <x:c r="Q89" s="37" t="str">
        <x:v>low</x:v>
      </x:c>
      <x:c r="R89" s="37" t="str">
        <x:v>review_required</x:v>
      </x:c>
      <x:c r="S89" s="37" t="str">
        <x:v>False</x:v>
      </x:c>
      <x:c r="T89" s="38" t="str">
        <x:v>Do not promote without scope review, exception review, and author-intent/baseline corroboration.</x:v>
      </x:c>
      <x:c r="U89" s="37" t="str">
        <x:v>55</x:v>
      </x:c>
      <x:c r="V89" s="37" t="str">
        <x:v>medium</x:v>
      </x:c>
      <x:c r="W89" s="37" t="str">
        <x:v>43</x:v>
      </x:c>
      <x:c r="X89" s="37" t="str">
        <x:v>low</x:v>
      </x:c>
      <x:c r="Y89" s="37" t="str">
        <x:v>40</x:v>
      </x:c>
      <x:c r="Z89" s="37" t="str">
        <x:v>low</x:v>
      </x:c>
      <x:c r="AA89" s="38" t="str">
        <x:v>alternative_profiles_present;baseline_incomplete</x:v>
      </x:c>
      <x:c r="AB89" s="37" t="str">
        <x:v>review_required</x:v>
      </x:c>
    </x:row>
    <x:row r="90">
      <x:c r="A90" s="37" t="str">
        <x:v>RC-0089</x:v>
      </x:c>
      <x:c r="B90" s="37" t="str">
        <x:v>perk_entry_point</x:v>
      </x:c>
      <x:c r="C90" s="37" t="str">
        <x:v>observed_pattern</x:v>
      </x:c>
      <x:c r="D90" s="37" t="str">
        <x:v>repeated_implementation_profile</x:v>
      </x:c>
      <x:c r="E90" s="37" t="str">
        <x:v>Blade and Blunt</x:v>
      </x:c>
      <x:c r="F90" s="37" t="str">
        <x:v>BladeAndBlunt.esp</x:v>
      </x:c>
      <x:c r="G90" s="37" t="str">
        <x:v>main</x:v>
      </x:c>
      <x:c r="H90" s="38" t="str">
        <x:v>Within BladeAndBlunt.esp, the perk_entry_point implementation repeatedly uses: Mod Incoming Spell Duration | Add Value | float; observed center: -0.5</x:v>
      </x:c>
      <x:c r="I90" s="37" t="str">
        <x:v>9</x:v>
      </x:c>
      <x:c r="J90" s="37" t="str">
        <x:v>observed_patterns:perk_entry_point:Mod Incoming Spell Duration | Add Value | float</x:v>
      </x:c>
      <x:c r="K90" s="37" t="str">
        <x:v>descriptive_frequency</x:v>
      </x:c>
      <x:c r="L90" s="37" t="str">
        <x:v>mixed_or_external_missing</x:v>
      </x:c>
      <x:c r="M90" s="37" t="str">
        <x:v>alternative_profiles_present</x:v>
      </x:c>
      <x:c r="N90" s="37" t="str">
        <x:v>18</x:v>
      </x:c>
      <x:c r="O90" s="37" t="str"/>
      <x:c r="P90" s="37" t="str">
        <x:v>42</x:v>
      </x:c>
      <x:c r="Q90" s="37" t="str">
        <x:v>low</x:v>
      </x:c>
      <x:c r="R90" s="37" t="str">
        <x:v>review_required</x:v>
      </x:c>
      <x:c r="S90" s="37" t="str">
        <x:v>False</x:v>
      </x:c>
      <x:c r="T90" s="38" t="str">
        <x:v>Do not promote without scope review, exception review, and author-intent/baseline corroboration.</x:v>
      </x:c>
      <x:c r="U90" s="37" t="str">
        <x:v>62</x:v>
      </x:c>
      <x:c r="V90" s="37" t="str">
        <x:v>medium</x:v>
      </x:c>
      <x:c r="W90" s="37" t="str">
        <x:v>43</x:v>
      </x:c>
      <x:c r="X90" s="37" t="str">
        <x:v>low</x:v>
      </x:c>
      <x:c r="Y90" s="37" t="str">
        <x:v>43</x:v>
      </x:c>
      <x:c r="Z90" s="37" t="str">
        <x:v>low</x:v>
      </x:c>
      <x:c r="AA90" s="38" t="str">
        <x:v>alternative_profiles_present;baseline_incomplete</x:v>
      </x:c>
      <x:c r="AB90" s="37" t="str">
        <x:v>review_required</x:v>
      </x:c>
    </x:row>
    <x:row r="91">
      <x:c r="A91" s="37" t="str">
        <x:v>RC-0090</x:v>
      </x:c>
      <x:c r="B91" s="37" t="str">
        <x:v>perk_entry_point</x:v>
      </x:c>
      <x:c r="C91" s="37" t="str">
        <x:v>observed_pattern</x:v>
      </x:c>
      <x:c r="D91" s="37" t="str">
        <x:v>repeated_implementation_profile</x:v>
      </x:c>
      <x:c r="E91" s="37" t="str">
        <x:v>Blade and Blunt</x:v>
      </x:c>
      <x:c r="F91" s="37" t="str">
        <x:v>BladeAndBlunt.esp</x:v>
      </x:c>
      <x:c r="G91" s="37" t="str">
        <x:v>main</x:v>
      </x:c>
      <x:c r="H91" s="38" t="str">
        <x:v>Within BladeAndBlunt.esp, the perk_entry_point implementation repeatedly uses: Mod Incoming Spell Duration | Multiply Value | float; observed center: 0.8999999761581421</x:v>
      </x:c>
      <x:c r="I91" s="37" t="str">
        <x:v>3</x:v>
      </x:c>
      <x:c r="J91" s="37" t="str">
        <x:v>observed_patterns:perk_entry_point:Mod Incoming Spell Duration | Multiply Value | float</x:v>
      </x:c>
      <x:c r="K91" s="37" t="str">
        <x:v>descriptive_frequency</x:v>
      </x:c>
      <x:c r="L91" s="37" t="str">
        <x:v>mixed_or_external_missing</x:v>
      </x:c>
      <x:c r="M91" s="37" t="str">
        <x:v>alternative_profiles_present</x:v>
      </x:c>
      <x:c r="N91" s="37" t="str">
        <x:v>18</x:v>
      </x:c>
      <x:c r="O91" s="37" t="str"/>
      <x:c r="P91" s="37" t="str">
        <x:v>36</x:v>
      </x:c>
      <x:c r="Q91" s="37" t="str">
        <x:v>low</x:v>
      </x:c>
      <x:c r="R91" s="37" t="str">
        <x:v>review_required</x:v>
      </x:c>
      <x:c r="S91" s="37" t="str">
        <x:v>False</x:v>
      </x:c>
      <x:c r="T91" s="38" t="str">
        <x:v>Do not promote without scope review, exception review, and author-intent/baseline corroboration.</x:v>
      </x:c>
      <x:c r="U91" s="37" t="str">
        <x:v>55</x:v>
      </x:c>
      <x:c r="V91" s="37" t="str">
        <x:v>medium</x:v>
      </x:c>
      <x:c r="W91" s="37" t="str">
        <x:v>43</x:v>
      </x:c>
      <x:c r="X91" s="37" t="str">
        <x:v>low</x:v>
      </x:c>
      <x:c r="Y91" s="37" t="str">
        <x:v>40</x:v>
      </x:c>
      <x:c r="Z91" s="37" t="str">
        <x:v>low</x:v>
      </x:c>
      <x:c r="AA91" s="38" t="str">
        <x:v>alternative_profiles_present;baseline_incomplete</x:v>
      </x:c>
      <x:c r="AB91" s="37" t="str">
        <x:v>review_required</x:v>
      </x:c>
    </x:row>
    <x:row r="92">
      <x:c r="A92" s="37" t="str">
        <x:v>RC-0091</x:v>
      </x:c>
      <x:c r="B92" s="37" t="str">
        <x:v>perk_entry_point</x:v>
      </x:c>
      <x:c r="C92" s="37" t="str">
        <x:v>observed_pattern</x:v>
      </x:c>
      <x:c r="D92" s="37" t="str">
        <x:v>repeated_implementation_profile</x:v>
      </x:c>
      <x:c r="E92" s="37" t="str">
        <x:v>Blade and Blunt</x:v>
      </x:c>
      <x:c r="F92" s="37" t="str">
        <x:v>BladeAndBlunt.esp</x:v>
      </x:c>
      <x:c r="G92" s="37" t="str">
        <x:v>main</x:v>
      </x:c>
      <x:c r="H92" s="38" t="str">
        <x:v>Within BladeAndBlunt.esp, the perk_entry_point implementation repeatedly uses: Mod Incoming Spell Magnitude | Add Value | float; observed center: 1.5</x:v>
      </x:c>
      <x:c r="I92" s="37" t="str">
        <x:v>31</x:v>
      </x:c>
      <x:c r="J92" s="37" t="str">
        <x:v>observed_patterns:perk_entry_point:Mod Incoming Spell Magnitude | Add Value | float</x:v>
      </x:c>
      <x:c r="K92" s="37" t="str">
        <x:v>descriptive_frequency</x:v>
      </x:c>
      <x:c r="L92" s="37" t="str">
        <x:v>mixed_or_external_missing</x:v>
      </x:c>
      <x:c r="M92" s="37" t="str">
        <x:v>alternative_profiles_present</x:v>
      </x:c>
      <x:c r="N92" s="37" t="str">
        <x:v>18</x:v>
      </x:c>
      <x:c r="O92" s="37" t="str"/>
      <x:c r="P92" s="37" t="str">
        <x:v>53</x:v>
      </x:c>
      <x:c r="Q92" s="37" t="str">
        <x:v>medium</x:v>
      </x:c>
      <x:c r="R92" s="37" t="str">
        <x:v>review_required</x:v>
      </x:c>
      <x:c r="S92" s="37" t="str">
        <x:v>False</x:v>
      </x:c>
      <x:c r="T92" s="38" t="str">
        <x:v>Do not promote without scope review, exception review, and author-intent/baseline corroboration.</x:v>
      </x:c>
      <x:c r="U92" s="37" t="str">
        <x:v>80</x:v>
      </x:c>
      <x:c r="V92" s="37" t="str">
        <x:v>high</x:v>
      </x:c>
      <x:c r="W92" s="37" t="str">
        <x:v>43</x:v>
      </x:c>
      <x:c r="X92" s="37" t="str">
        <x:v>low</x:v>
      </x:c>
      <x:c r="Y92" s="37" t="str">
        <x:v>53</x:v>
      </x:c>
      <x:c r="Z92" s="37" t="str">
        <x:v>medium</x:v>
      </x:c>
      <x:c r="AA92" s="38" t="str">
        <x:v>alternative_profiles_present;baseline_incomplete</x:v>
      </x:c>
      <x:c r="AB92" s="37" t="str">
        <x:v>review_required</x:v>
      </x:c>
    </x:row>
    <x:row r="93">
      <x:c r="A93" s="37" t="str">
        <x:v>RC-0092</x:v>
      </x:c>
      <x:c r="B93" s="37" t="str">
        <x:v>perk_entry_point</x:v>
      </x:c>
      <x:c r="C93" s="37" t="str">
        <x:v>observed_pattern</x:v>
      </x:c>
      <x:c r="D93" s="37" t="str">
        <x:v>repeated_implementation_profile</x:v>
      </x:c>
      <x:c r="E93" s="37" t="str">
        <x:v>Blade and Blunt</x:v>
      </x:c>
      <x:c r="F93" s="37" t="str">
        <x:v>BladeAndBlunt.esp</x:v>
      </x:c>
      <x:c r="G93" s="37" t="str">
        <x:v>main</x:v>
      </x:c>
      <x:c r="H93" s="38" t="str">
        <x:v>Within BladeAndBlunt.esp, the perk_entry_point implementation repeatedly uses: Mod Incoming Spell Magnitude | Multiply Value | float; observed center: 0.6899999976158142</x:v>
      </x:c>
      <x:c r="I93" s="37" t="str">
        <x:v>39</x:v>
      </x:c>
      <x:c r="J93" s="37" t="str">
        <x:v>observed_patterns:perk_entry_point:Mod Incoming Spell Magnitude | Multiply Value | float</x:v>
      </x:c>
      <x:c r="K93" s="37" t="str">
        <x:v>descriptive_frequency</x:v>
      </x:c>
      <x:c r="L93" s="37" t="str">
        <x:v>mixed_or_external_missing</x:v>
      </x:c>
      <x:c r="M93" s="37" t="str">
        <x:v>alternative_profiles_present</x:v>
      </x:c>
      <x:c r="N93" s="37" t="str">
        <x:v>18</x:v>
      </x:c>
      <x:c r="O93" s="37" t="str"/>
      <x:c r="P93" s="37" t="str">
        <x:v>53</x:v>
      </x:c>
      <x:c r="Q93" s="37" t="str">
        <x:v>medium</x:v>
      </x:c>
      <x:c r="R93" s="37" t="str">
        <x:v>review_required</x:v>
      </x:c>
      <x:c r="S93" s="37" t="str">
        <x:v>False</x:v>
      </x:c>
      <x:c r="T93" s="38" t="str">
        <x:v>Do not promote without scope review, exception review, and author-intent/baseline corroboration.</x:v>
      </x:c>
      <x:c r="U93" s="37" t="str">
        <x:v>80</x:v>
      </x:c>
      <x:c r="V93" s="37" t="str">
        <x:v>high</x:v>
      </x:c>
      <x:c r="W93" s="37" t="str">
        <x:v>43</x:v>
      </x:c>
      <x:c r="X93" s="37" t="str">
        <x:v>low</x:v>
      </x:c>
      <x:c r="Y93" s="37" t="str">
        <x:v>53</x:v>
      </x:c>
      <x:c r="Z93" s="37" t="str">
        <x:v>medium</x:v>
      </x:c>
      <x:c r="AA93" s="38" t="str">
        <x:v>alternative_profiles_present;baseline_incomplete</x:v>
      </x:c>
      <x:c r="AB93" s="37" t="str">
        <x:v>review_required</x:v>
      </x:c>
    </x:row>
    <x:row r="94">
      <x:c r="A94" s="37" t="str">
        <x:v>RC-0093</x:v>
      </x:c>
      <x:c r="B94" s="37" t="str">
        <x:v>perk_entry_point</x:v>
      </x:c>
      <x:c r="C94" s="37" t="str">
        <x:v>observed_pattern</x:v>
      </x:c>
      <x:c r="D94" s="37" t="str">
        <x:v>repeated_implementation_profile</x:v>
      </x:c>
      <x:c r="E94" s="37" t="str">
        <x:v>Blade and Blunt</x:v>
      </x:c>
      <x:c r="F94" s="37" t="str">
        <x:v>BladeAndBlunt.esp</x:v>
      </x:c>
      <x:c r="G94" s="37" t="str">
        <x:v>main</x:v>
      </x:c>
      <x:c r="H94" s="38" t="str">
        <x:v>Within BladeAndBlunt.esp, the perk_entry_point implementation repeatedly uses: Mod Incoming Stagger | Multiply Value | float; observed center: 0.5</x:v>
      </x:c>
      <x:c r="I94" s="37" t="str">
        <x:v>3</x:v>
      </x:c>
      <x:c r="J94" s="37" t="str">
        <x:v>observed_patterns:perk_entry_point:Mod Incoming Stagger | Multiply Value | float</x:v>
      </x:c>
      <x:c r="K94" s="37" t="str">
        <x:v>descriptive_frequency</x:v>
      </x:c>
      <x:c r="L94" s="37" t="str">
        <x:v>mixed_or_external_missing</x:v>
      </x:c>
      <x:c r="M94" s="37" t="str">
        <x:v>alternative_profiles_present</x:v>
      </x:c>
      <x:c r="N94" s="37" t="str">
        <x:v>18</x:v>
      </x:c>
      <x:c r="O94" s="37" t="str"/>
      <x:c r="P94" s="37" t="str">
        <x:v>36</x:v>
      </x:c>
      <x:c r="Q94" s="37" t="str">
        <x:v>low</x:v>
      </x:c>
      <x:c r="R94" s="37" t="str">
        <x:v>review_required</x:v>
      </x:c>
      <x:c r="S94" s="37" t="str">
        <x:v>False</x:v>
      </x:c>
      <x:c r="T94" s="38" t="str">
        <x:v>Do not promote without scope review, exception review, and author-intent/baseline corroboration.</x:v>
      </x:c>
      <x:c r="U94" s="37" t="str">
        <x:v>55</x:v>
      </x:c>
      <x:c r="V94" s="37" t="str">
        <x:v>medium</x:v>
      </x:c>
      <x:c r="W94" s="37" t="str">
        <x:v>43</x:v>
      </x:c>
      <x:c r="X94" s="37" t="str">
        <x:v>low</x:v>
      </x:c>
      <x:c r="Y94" s="37" t="str">
        <x:v>40</x:v>
      </x:c>
      <x:c r="Z94" s="37" t="str">
        <x:v>low</x:v>
      </x:c>
      <x:c r="AA94" s="38" t="str">
        <x:v>alternative_profiles_present;baseline_incomplete</x:v>
      </x:c>
      <x:c r="AB94" s="37" t="str">
        <x:v>review_required</x:v>
      </x:c>
    </x:row>
    <x:row r="95">
      <x:c r="A95" s="37" t="str">
        <x:v>RC-0094</x:v>
      </x:c>
      <x:c r="B95" s="37" t="str">
        <x:v>perk_entry_point</x:v>
      </x:c>
      <x:c r="C95" s="37" t="str">
        <x:v>observed_pattern</x:v>
      </x:c>
      <x:c r="D95" s="37" t="str">
        <x:v>repeated_implementation_profile</x:v>
      </x:c>
      <x:c r="E95" s="37" t="str">
        <x:v>Blade and Blunt</x:v>
      </x:c>
      <x:c r="F95" s="37" t="str">
        <x:v>BladeAndBlunt.esp</x:v>
      </x:c>
      <x:c r="G95" s="37" t="str">
        <x:v>main</x:v>
      </x:c>
      <x:c r="H95" s="38" t="str">
        <x:v>Within BladeAndBlunt.esp, the perk_entry_point implementation repeatedly uses: Mod Percent Blocked | Multiply Value | float; observed center: 0.875</x:v>
      </x:c>
      <x:c r="I95" s="37" t="str">
        <x:v>6</x:v>
      </x:c>
      <x:c r="J95" s="37" t="str">
        <x:v>observed_patterns:perk_entry_point:Mod Percent Blocked | Multiply Value | float</x:v>
      </x:c>
      <x:c r="K95" s="37" t="str">
        <x:v>descriptive_frequency</x:v>
      </x:c>
      <x:c r="L95" s="37" t="str">
        <x:v>mixed_or_external_missing</x:v>
      </x:c>
      <x:c r="M95" s="37" t="str">
        <x:v>alternative_profiles_present</x:v>
      </x:c>
      <x:c r="N95" s="37" t="str">
        <x:v>18</x:v>
      </x:c>
      <x:c r="O95" s="37" t="str"/>
      <x:c r="P95" s="37" t="str">
        <x:v>42</x:v>
      </x:c>
      <x:c r="Q95" s="37" t="str">
        <x:v>low</x:v>
      </x:c>
      <x:c r="R95" s="37" t="str">
        <x:v>review_required</x:v>
      </x:c>
      <x:c r="S95" s="37" t="str">
        <x:v>False</x:v>
      </x:c>
      <x:c r="T95" s="38" t="str">
        <x:v>Do not promote without scope review, exception review, and author-intent/baseline corroboration.</x:v>
      </x:c>
      <x:c r="U95" s="37" t="str">
        <x:v>62</x:v>
      </x:c>
      <x:c r="V95" s="37" t="str">
        <x:v>medium</x:v>
      </x:c>
      <x:c r="W95" s="37" t="str">
        <x:v>43</x:v>
      </x:c>
      <x:c r="X95" s="37" t="str">
        <x:v>low</x:v>
      </x:c>
      <x:c r="Y95" s="37" t="str">
        <x:v>43</x:v>
      </x:c>
      <x:c r="Z95" s="37" t="str">
        <x:v>low</x:v>
      </x:c>
      <x:c r="AA95" s="38" t="str">
        <x:v>alternative_profiles_present;baseline_incomplete</x:v>
      </x:c>
      <x:c r="AB95" s="37" t="str">
        <x:v>review_required</x:v>
      </x:c>
    </x:row>
    <x:row r="96">
      <x:c r="A96" s="37" t="str">
        <x:v>RC-0095</x:v>
      </x:c>
      <x:c r="B96" s="37" t="str">
        <x:v>perk_entry_point</x:v>
      </x:c>
      <x:c r="C96" s="37" t="str">
        <x:v>observed_pattern</x:v>
      </x:c>
      <x:c r="D96" s="37" t="str">
        <x:v>repeated_implementation_profile</x:v>
      </x:c>
      <x:c r="E96" s="37" t="str">
        <x:v>Blade and Blunt</x:v>
      </x:c>
      <x:c r="F96" s="37" t="str">
        <x:v>BladeAndBlunt.esp</x:v>
      </x:c>
      <x:c r="G96" s="37" t="str">
        <x:v>main</x:v>
      </x:c>
      <x:c r="H96" s="38" t="str">
        <x:v>Within BladeAndBlunt.esp, the perk_entry_point implementation repeatedly uses: Mod Power Attack Stamina | Multiply Value | float; observed center: 1.0</x:v>
      </x:c>
      <x:c r="I96" s="37" t="str">
        <x:v>10</x:v>
      </x:c>
      <x:c r="J96" s="37" t="str">
        <x:v>observed_patterns:perk_entry_point:Mod Power Attack Stamina | Multiply Value | float</x:v>
      </x:c>
      <x:c r="K96" s="37" t="str">
        <x:v>descriptive_frequency</x:v>
      </x:c>
      <x:c r="L96" s="37" t="str">
        <x:v>mixed_or_external_missing</x:v>
      </x:c>
      <x:c r="M96" s="37" t="str">
        <x:v>alternative_profiles_present</x:v>
      </x:c>
      <x:c r="N96" s="37" t="str">
        <x:v>18</x:v>
      </x:c>
      <x:c r="O96" s="37" t="str"/>
      <x:c r="P96" s="37" t="str">
        <x:v>48</x:v>
      </x:c>
      <x:c r="Q96" s="37" t="str">
        <x:v>low</x:v>
      </x:c>
      <x:c r="R96" s="37" t="str">
        <x:v>review_required</x:v>
      </x:c>
      <x:c r="S96" s="37" t="str">
        <x:v>False</x:v>
      </x:c>
      <x:c r="T96" s="38" t="str">
        <x:v>Do not promote without scope review, exception review, and author-intent/baseline corroboration.</x:v>
      </x:c>
      <x:c r="U96" s="37" t="str">
        <x:v>70</x:v>
      </x:c>
      <x:c r="V96" s="37" t="str">
        <x:v>medium</x:v>
      </x:c>
      <x:c r="W96" s="37" t="str">
        <x:v>43</x:v>
      </x:c>
      <x:c r="X96" s="37" t="str">
        <x:v>low</x:v>
      </x:c>
      <x:c r="Y96" s="37" t="str">
        <x:v>48</x:v>
      </x:c>
      <x:c r="Z96" s="37" t="str">
        <x:v>low</x:v>
      </x:c>
      <x:c r="AA96" s="38" t="str">
        <x:v>alternative_profiles_present;baseline_incomplete</x:v>
      </x:c>
      <x:c r="AB96" s="37" t="str">
        <x:v>review_required</x:v>
      </x:c>
    </x:row>
    <x:row r="97">
      <x:c r="A97" s="37" t="str">
        <x:v>RC-0096</x:v>
      </x:c>
      <x:c r="B97" s="37" t="str">
        <x:v>perk_entry_point</x:v>
      </x:c>
      <x:c r="C97" s="37" t="str">
        <x:v>observed_pattern</x:v>
      </x:c>
      <x:c r="D97" s="37" t="str">
        <x:v>repeated_implementation_profile</x:v>
      </x:c>
      <x:c r="E97" s="37" t="str">
        <x:v>Blade and Blunt</x:v>
      </x:c>
      <x:c r="F97" s="37" t="str">
        <x:v>BladeAndBlunt.esp</x:v>
      </x:c>
      <x:c r="G97" s="37" t="str">
        <x:v>main</x:v>
      </x:c>
      <x:c r="H97" s="38" t="str">
        <x:v>Within BladeAndBlunt.esp, the perk_entry_point implementation repeatedly uses: Mod Power Attack Stamina | Set Value | float; observed center: 39.95000076293945</x:v>
      </x:c>
      <x:c r="I97" s="37" t="str">
        <x:v>5</x:v>
      </x:c>
      <x:c r="J97" s="37" t="str">
        <x:v>observed_patterns:perk_entry_point:Mod Power Attack Stamina | Set Value | float</x:v>
      </x:c>
      <x:c r="K97" s="37" t="str">
        <x:v>descriptive_frequency</x:v>
      </x:c>
      <x:c r="L97" s="37" t="str">
        <x:v>mixed_or_external_missing</x:v>
      </x:c>
      <x:c r="M97" s="37" t="str">
        <x:v>alternative_profiles_present</x:v>
      </x:c>
      <x:c r="N97" s="37" t="str">
        <x:v>18</x:v>
      </x:c>
      <x:c r="O97" s="37" t="str"/>
      <x:c r="P97" s="37" t="str">
        <x:v>42</x:v>
      </x:c>
      <x:c r="Q97" s="37" t="str">
        <x:v>low</x:v>
      </x:c>
      <x:c r="R97" s="37" t="str">
        <x:v>review_required</x:v>
      </x:c>
      <x:c r="S97" s="37" t="str">
        <x:v>False</x:v>
      </x:c>
      <x:c r="T97" s="38" t="str">
        <x:v>Do not promote without scope review, exception review, and author-intent/baseline corroboration.</x:v>
      </x:c>
      <x:c r="U97" s="37" t="str">
        <x:v>62</x:v>
      </x:c>
      <x:c r="V97" s="37" t="str">
        <x:v>medium</x:v>
      </x:c>
      <x:c r="W97" s="37" t="str">
        <x:v>43</x:v>
      </x:c>
      <x:c r="X97" s="37" t="str">
        <x:v>low</x:v>
      </x:c>
      <x:c r="Y97" s="37" t="str">
        <x:v>43</x:v>
      </x:c>
      <x:c r="Z97" s="37" t="str">
        <x:v>low</x:v>
      </x:c>
      <x:c r="AA97" s="38" t="str">
        <x:v>alternative_profiles_present;baseline_incomplete</x:v>
      </x:c>
      <x:c r="AB97" s="37" t="str">
        <x:v>review_required</x:v>
      </x:c>
    </x:row>
    <x:row r="98">
      <x:c r="A98" s="37" t="str">
        <x:v>RC-0097</x:v>
      </x:c>
      <x:c r="B98" s="37" t="str">
        <x:v>perk_entry_point</x:v>
      </x:c>
      <x:c r="C98" s="37" t="str">
        <x:v>observed_pattern</x:v>
      </x:c>
      <x:c r="D98" s="37" t="str">
        <x:v>repeated_implementation_profile</x:v>
      </x:c>
      <x:c r="E98" s="37" t="str">
        <x:v>Blade and Blunt</x:v>
      </x:c>
      <x:c r="F98" s="37" t="str">
        <x:v>BladeAndBlunt.esp</x:v>
      </x:c>
      <x:c r="G98" s="37" t="str">
        <x:v>main</x:v>
      </x:c>
      <x:c r="H98" s="38" t="str">
        <x:v>Within BladeAndBlunt.esp, the perk_entry_point implementation repeatedly uses: Mod Secondary Value Weight | Multiply Value | float; observed center: 0.5</x:v>
      </x:c>
      <x:c r="I98" s="37" t="str">
        <x:v>6</x:v>
      </x:c>
      <x:c r="J98" s="37" t="str">
        <x:v>observed_patterns:perk_entry_point:Mod Secondary Value Weight | Multiply Value | float</x:v>
      </x:c>
      <x:c r="K98" s="37" t="str">
        <x:v>descriptive_frequency</x:v>
      </x:c>
      <x:c r="L98" s="37" t="str">
        <x:v>mixed_or_external_missing</x:v>
      </x:c>
      <x:c r="M98" s="37" t="str">
        <x:v>alternative_profiles_present</x:v>
      </x:c>
      <x:c r="N98" s="37" t="str">
        <x:v>18</x:v>
      </x:c>
      <x:c r="O98" s="37" t="str"/>
      <x:c r="P98" s="37" t="str">
        <x:v>42</x:v>
      </x:c>
      <x:c r="Q98" s="37" t="str">
        <x:v>low</x:v>
      </x:c>
      <x:c r="R98" s="37" t="str">
        <x:v>review_required</x:v>
      </x:c>
      <x:c r="S98" s="37" t="str">
        <x:v>False</x:v>
      </x:c>
      <x:c r="T98" s="38" t="str">
        <x:v>Do not promote without scope review, exception review, and author-intent/baseline corroboration.</x:v>
      </x:c>
      <x:c r="U98" s="37" t="str">
        <x:v>62</x:v>
      </x:c>
      <x:c r="V98" s="37" t="str">
        <x:v>medium</x:v>
      </x:c>
      <x:c r="W98" s="37" t="str">
        <x:v>43</x:v>
      </x:c>
      <x:c r="X98" s="37" t="str">
        <x:v>low</x:v>
      </x:c>
      <x:c r="Y98" s="37" t="str">
        <x:v>43</x:v>
      </x:c>
      <x:c r="Z98" s="37" t="str">
        <x:v>low</x:v>
      </x:c>
      <x:c r="AA98" s="38" t="str">
        <x:v>alternative_profiles_present;baseline_incomplete</x:v>
      </x:c>
      <x:c r="AB98" s="37" t="str">
        <x:v>review_required</x:v>
      </x:c>
    </x:row>
    <x:row r="99">
      <x:c r="A99" s="37" t="str">
        <x:v>RC-0098</x:v>
      </x:c>
      <x:c r="B99" s="37" t="str">
        <x:v>perk_entry_point</x:v>
      </x:c>
      <x:c r="C99" s="37" t="str">
        <x:v>observed_pattern</x:v>
      </x:c>
      <x:c r="D99" s="37" t="str">
        <x:v>repeated_implementation_profile</x:v>
      </x:c>
      <x:c r="E99" s="37" t="str">
        <x:v>Blade and Blunt</x:v>
      </x:c>
      <x:c r="F99" s="37" t="str">
        <x:v>BladeAndBlunt.esp</x:v>
      </x:c>
      <x:c r="G99" s="37" t="str">
        <x:v>main</x:v>
      </x:c>
      <x:c r="H99" s="38" t="str">
        <x:v>Within BladeAndBlunt.esp, the perk_entry_point implementation repeatedly uses: Mod Spell Cost | Multiply Value | float; observed center: 1.0</x:v>
      </x:c>
      <x:c r="I99" s="37" t="str">
        <x:v>4</x:v>
      </x:c>
      <x:c r="J99" s="37" t="str">
        <x:v>observed_patterns:perk_entry_point:Mod Spell Cost | Multiply Value | float</x:v>
      </x:c>
      <x:c r="K99" s="37" t="str">
        <x:v>descriptive_frequency</x:v>
      </x:c>
      <x:c r="L99" s="37" t="str">
        <x:v>mixed_or_external_missing</x:v>
      </x:c>
      <x:c r="M99" s="37" t="str">
        <x:v>alternative_profiles_present</x:v>
      </x:c>
      <x:c r="N99" s="37" t="str">
        <x:v>18</x:v>
      </x:c>
      <x:c r="O99" s="37" t="str"/>
      <x:c r="P99" s="37" t="str">
        <x:v>36</x:v>
      </x:c>
      <x:c r="Q99" s="37" t="str">
        <x:v>low</x:v>
      </x:c>
      <x:c r="R99" s="37" t="str">
        <x:v>review_required</x:v>
      </x:c>
      <x:c r="S99" s="37" t="str">
        <x:v>False</x:v>
      </x:c>
      <x:c r="T99" s="38" t="str">
        <x:v>Do not promote without scope review, exception review, and author-intent/baseline corroboration.</x:v>
      </x:c>
      <x:c r="U99" s="37" t="str">
        <x:v>55</x:v>
      </x:c>
      <x:c r="V99" s="37" t="str">
        <x:v>medium</x:v>
      </x:c>
      <x:c r="W99" s="37" t="str">
        <x:v>43</x:v>
      </x:c>
      <x:c r="X99" s="37" t="str">
        <x:v>low</x:v>
      </x:c>
      <x:c r="Y99" s="37" t="str">
        <x:v>40</x:v>
      </x:c>
      <x:c r="Z99" s="37" t="str">
        <x:v>low</x:v>
      </x:c>
      <x:c r="AA99" s="38" t="str">
        <x:v>alternative_profiles_present;baseline_incomplete</x:v>
      </x:c>
      <x:c r="AB99" s="37" t="str">
        <x:v>review_required</x:v>
      </x:c>
    </x:row>
    <x:row r="100">
      <x:c r="A100" s="37" t="str">
        <x:v>RC-0099</x:v>
      </x:c>
      <x:c r="B100" s="37" t="str">
        <x:v>perk_entry_point</x:v>
      </x:c>
      <x:c r="C100" s="37" t="str">
        <x:v>observed_pattern</x:v>
      </x:c>
      <x:c r="D100" s="37" t="str">
        <x:v>repeated_implementation_profile</x:v>
      </x:c>
      <x:c r="E100" s="37" t="str">
        <x:v>Blade and Blunt</x:v>
      </x:c>
      <x:c r="F100" s="37" t="str">
        <x:v>BladeAndBlunt.esp</x:v>
      </x:c>
      <x:c r="G100" s="37" t="str">
        <x:v>main</x:v>
      </x:c>
      <x:c r="H100" s="38" t="str">
        <x:v>Within BladeAndBlunt.esp, the perk_entry_point implementation repeatedly uses: Mod Spell Duration | Add Value | float; observed center: 0.5</x:v>
      </x:c>
      <x:c r="I100" s="37" t="str">
        <x:v>5</x:v>
      </x:c>
      <x:c r="J100" s="37" t="str">
        <x:v>observed_patterns:perk_entry_point:Mod Spell Duration | Add Value | float</x:v>
      </x:c>
      <x:c r="K100" s="37" t="str">
        <x:v>descriptive_frequency</x:v>
      </x:c>
      <x:c r="L100" s="37" t="str">
        <x:v>mixed_or_external_missing</x:v>
      </x:c>
      <x:c r="M100" s="37" t="str">
        <x:v>alternative_profiles_present</x:v>
      </x:c>
      <x:c r="N100" s="37" t="str">
        <x:v>18</x:v>
      </x:c>
      <x:c r="O100" s="37" t="str"/>
      <x:c r="P100" s="37" t="str">
        <x:v>42</x:v>
      </x:c>
      <x:c r="Q100" s="37" t="str">
        <x:v>low</x:v>
      </x:c>
      <x:c r="R100" s="37" t="str">
        <x:v>review_required</x:v>
      </x:c>
      <x:c r="S100" s="37" t="str">
        <x:v>False</x:v>
      </x:c>
      <x:c r="T100" s="38" t="str">
        <x:v>Do not promote without scope review, exception review, and author-intent/baseline corroboration.</x:v>
      </x:c>
      <x:c r="U100" s="37" t="str">
        <x:v>62</x:v>
      </x:c>
      <x:c r="V100" s="37" t="str">
        <x:v>medium</x:v>
      </x:c>
      <x:c r="W100" s="37" t="str">
        <x:v>43</x:v>
      </x:c>
      <x:c r="X100" s="37" t="str">
        <x:v>low</x:v>
      </x:c>
      <x:c r="Y100" s="37" t="str">
        <x:v>43</x:v>
      </x:c>
      <x:c r="Z100" s="37" t="str">
        <x:v>low</x:v>
      </x:c>
      <x:c r="AA100" s="38" t="str">
        <x:v>alternative_profiles_present;baseline_incomplete</x:v>
      </x:c>
      <x:c r="AB100" s="37" t="str">
        <x:v>review_required</x:v>
      </x:c>
    </x:row>
    <x:row r="101">
      <x:c r="A101" s="37" t="str">
        <x:v>RC-0100</x:v>
      </x:c>
      <x:c r="B101" s="37" t="str">
        <x:v>perk_entry_point</x:v>
      </x:c>
      <x:c r="C101" s="37" t="str">
        <x:v>observed_pattern</x:v>
      </x:c>
      <x:c r="D101" s="37" t="str">
        <x:v>repeated_implementation_profile</x:v>
      </x:c>
      <x:c r="E101" s="37" t="str">
        <x:v>Blade and Blunt</x:v>
      </x:c>
      <x:c r="F101" s="37" t="str">
        <x:v>BladeAndBlunt.esp</x:v>
      </x:c>
      <x:c r="G101" s="37" t="str">
        <x:v>main</x:v>
      </x:c>
      <x:c r="H101" s="38" t="str">
        <x:v>Within BladeAndBlunt.esp, the perk_entry_point implementation repeatedly uses: Mod Spell Magnitude | Add Value | float; observed center: 0.25</x:v>
      </x:c>
      <x:c r="I101" s="37" t="str">
        <x:v>5</x:v>
      </x:c>
      <x:c r="J101" s="37" t="str">
        <x:v>observed_patterns:perk_entry_point:Mod Spell Magnitude | Add Value | float</x:v>
      </x:c>
      <x:c r="K101" s="37" t="str">
        <x:v>descriptive_frequency</x:v>
      </x:c>
      <x:c r="L101" s="37" t="str">
        <x:v>mixed_or_external_missing</x:v>
      </x:c>
      <x:c r="M101" s="37" t="str">
        <x:v>alternative_profiles_present</x:v>
      </x:c>
      <x:c r="N101" s="37" t="str">
        <x:v>18</x:v>
      </x:c>
      <x:c r="O101" s="37" t="str"/>
      <x:c r="P101" s="37" t="str">
        <x:v>42</x:v>
      </x:c>
      <x:c r="Q101" s="37" t="str">
        <x:v>low</x:v>
      </x:c>
      <x:c r="R101" s="37" t="str">
        <x:v>review_required</x:v>
      </x:c>
      <x:c r="S101" s="37" t="str">
        <x:v>False</x:v>
      </x:c>
      <x:c r="T101" s="38" t="str">
        <x:v>Do not promote without scope review, exception review, and author-intent/baseline corroboration.</x:v>
      </x:c>
      <x:c r="U101" s="37" t="str">
        <x:v>62</x:v>
      </x:c>
      <x:c r="V101" s="37" t="str">
        <x:v>medium</x:v>
      </x:c>
      <x:c r="W101" s="37" t="str">
        <x:v>43</x:v>
      </x:c>
      <x:c r="X101" s="37" t="str">
        <x:v>low</x:v>
      </x:c>
      <x:c r="Y101" s="37" t="str">
        <x:v>43</x:v>
      </x:c>
      <x:c r="Z101" s="37" t="str">
        <x:v>low</x:v>
      </x:c>
      <x:c r="AA101" s="38" t="str">
        <x:v>alternative_profiles_present;baseline_incomplete</x:v>
      </x:c>
      <x:c r="AB101" s="37" t="str">
        <x:v>review_required</x:v>
      </x:c>
    </x:row>
    <x:row r="102">
      <x:c r="A102" s="37" t="str">
        <x:v>RC-0101</x:v>
      </x:c>
      <x:c r="B102" s="37" t="str">
        <x:v>perk_entry_point</x:v>
      </x:c>
      <x:c r="C102" s="37" t="str">
        <x:v>observed_pattern</x:v>
      </x:c>
      <x:c r="D102" s="37" t="str">
        <x:v>repeated_implementation_profile</x:v>
      </x:c>
      <x:c r="E102" s="37" t="str">
        <x:v>Blade and Blunt</x:v>
      </x:c>
      <x:c r="F102" s="37" t="str">
        <x:v>BladeAndBlunt.esp</x:v>
      </x:c>
      <x:c r="G102" s="37" t="str">
        <x:v>main</x:v>
      </x:c>
      <x:c r="H102" s="38" t="str">
        <x:v>Within BladeAndBlunt.esp, the perk_entry_point implementation repeatedly uses: Mod Spell Magnitude | Multiply Value | float; observed center: 1.5</x:v>
      </x:c>
      <x:c r="I102" s="37" t="str">
        <x:v>17</x:v>
      </x:c>
      <x:c r="J102" s="37" t="str">
        <x:v>observed_patterns:perk_entry_point:Mod Spell Magnitude | Multiply Value | float</x:v>
      </x:c>
      <x:c r="K102" s="37" t="str">
        <x:v>descriptive_frequency</x:v>
      </x:c>
      <x:c r="L102" s="37" t="str">
        <x:v>mixed_or_external_missing</x:v>
      </x:c>
      <x:c r="M102" s="37" t="str">
        <x:v>alternative_profiles_present</x:v>
      </x:c>
      <x:c r="N102" s="37" t="str">
        <x:v>18</x:v>
      </x:c>
      <x:c r="O102" s="37" t="str"/>
      <x:c r="P102" s="37" t="str">
        <x:v>48</x:v>
      </x:c>
      <x:c r="Q102" s="37" t="str">
        <x:v>low</x:v>
      </x:c>
      <x:c r="R102" s="37" t="str">
        <x:v>review_required</x:v>
      </x:c>
      <x:c r="S102" s="37" t="str">
        <x:v>False</x:v>
      </x:c>
      <x:c r="T102" s="38" t="str">
        <x:v>Do not promote without scope review, exception review, and author-intent/baseline corroboration.</x:v>
      </x:c>
      <x:c r="U102" s="37" t="str">
        <x:v>70</x:v>
      </x:c>
      <x:c r="V102" s="37" t="str">
        <x:v>medium</x:v>
      </x:c>
      <x:c r="W102" s="37" t="str">
        <x:v>43</x:v>
      </x:c>
      <x:c r="X102" s="37" t="str">
        <x:v>low</x:v>
      </x:c>
      <x:c r="Y102" s="37" t="str">
        <x:v>48</x:v>
      </x:c>
      <x:c r="Z102" s="37" t="str">
        <x:v>low</x:v>
      </x:c>
      <x:c r="AA102" s="38" t="str">
        <x:v>alternative_profiles_present;baseline_incomplete</x:v>
      </x:c>
      <x:c r="AB102" s="37" t="str">
        <x:v>review_required</x:v>
      </x:c>
    </x:row>
    <x:row r="103">
      <x:c r="A103" s="37" t="str">
        <x:v>RC-0102</x:v>
      </x:c>
      <x:c r="B103" s="37" t="str">
        <x:v>perk_entry_point</x:v>
      </x:c>
      <x:c r="C103" s="37" t="str">
        <x:v>observed_pattern</x:v>
      </x:c>
      <x:c r="D103" s="37" t="str">
        <x:v>repeated_implementation_profile</x:v>
      </x:c>
      <x:c r="E103" s="37" t="str">
        <x:v>Hand to Hand</x:v>
      </x:c>
      <x:c r="F103" s="37" t="str">
        <x:v>HandtoHand.esp</x:v>
      </x:c>
      <x:c r="G103" s="37" t="str">
        <x:v>standalone_main</x:v>
      </x:c>
      <x:c r="H103" s="38" t="str">
        <x:v>Within HandtoHand.esp, the perk_entry_point implementation repeatedly uses: Apply Combat Hit Spell | Select Spell | spell</x:v>
      </x:c>
      <x:c r="I103" s="37" t="str">
        <x:v>6</x:v>
      </x:c>
      <x:c r="J103" s="37" t="str">
        <x:v>observed_patterns:perk_entry_point:Apply Combat Hit Spell | Select Spell | spell</x:v>
      </x:c>
      <x:c r="K103" s="37" t="str">
        <x:v>descriptive_frequency</x:v>
      </x:c>
      <x:c r="L103" s="37" t="str">
        <x:v>exact_imported_or_local</x:v>
      </x:c>
      <x:c r="M103" s="37" t="str">
        <x:v>alternative_profiles_present</x:v>
      </x:c>
      <x:c r="N103" s="37" t="str">
        <x:v>7</x:v>
      </x:c>
      <x:c r="O103" s="37" t="str"/>
      <x:c r="P103" s="37" t="str">
        <x:v>42</x:v>
      </x:c>
      <x:c r="Q103" s="37" t="str">
        <x:v>low</x:v>
      </x:c>
      <x:c r="R103" s="37" t="str">
        <x:v>review_required</x:v>
      </x:c>
      <x:c r="S103" s="37" t="str">
        <x:v>False</x:v>
      </x:c>
      <x:c r="T103" s="38" t="str">
        <x:v>Do not promote without scope review, exception review, and author-intent/baseline corroboration.</x:v>
      </x:c>
      <x:c r="U103" s="37" t="str">
        <x:v>62</x:v>
      </x:c>
      <x:c r="V103" s="37" t="str">
        <x:v>medium</x:v>
      </x:c>
      <x:c r="W103" s="37" t="str">
        <x:v>58</x:v>
      </x:c>
      <x:c r="X103" s="37" t="str">
        <x:v>medium</x:v>
      </x:c>
      <x:c r="Y103" s="37" t="str">
        <x:v>55</x:v>
      </x:c>
      <x:c r="Z103" s="37" t="str">
        <x:v>medium</x:v>
      </x:c>
      <x:c r="AA103" s="38" t="str">
        <x:v>alternative_profiles_present</x:v>
      </x:c>
      <x:c r="AB103" s="37" t="str">
        <x:v>review_required</x:v>
      </x:c>
    </x:row>
    <x:row r="104">
      <x:c r="A104" s="37" t="str">
        <x:v>RC-0103</x:v>
      </x:c>
      <x:c r="B104" s="37" t="str">
        <x:v>perk_entry_point</x:v>
      </x:c>
      <x:c r="C104" s="37" t="str">
        <x:v>observed_pattern</x:v>
      </x:c>
      <x:c r="D104" s="37" t="str">
        <x:v>repeated_implementation_profile</x:v>
      </x:c>
      <x:c r="E104" s="37" t="str">
        <x:v>Hand to Hand</x:v>
      </x:c>
      <x:c r="F104" s="37" t="str">
        <x:v>HandtoHand.esp</x:v>
      </x:c>
      <x:c r="G104" s="37" t="str">
        <x:v>standalone_main</x:v>
      </x:c>
      <x:c r="H104" s="38" t="str">
        <x:v>Within HandtoHand.esp, the perk_entry_point implementation repeatedly uses: Mod Incoming Spell Magnitude | Multiply Value | float; observed center: 0.8499999940395355</x:v>
      </x:c>
      <x:c r="I104" s="37" t="str">
        <x:v>4</x:v>
      </x:c>
      <x:c r="J104" s="37" t="str">
        <x:v>observed_patterns:perk_entry_point:Mod Incoming Spell Magnitude | Multiply Value | float</x:v>
      </x:c>
      <x:c r="K104" s="37" t="str">
        <x:v>descriptive_frequency</x:v>
      </x:c>
      <x:c r="L104" s="37" t="str">
        <x:v>exact_imported_or_local</x:v>
      </x:c>
      <x:c r="M104" s="37" t="str">
        <x:v>alternative_profiles_present</x:v>
      </x:c>
      <x:c r="N104" s="37" t="str">
        <x:v>7</x:v>
      </x:c>
      <x:c r="O104" s="37" t="str"/>
      <x:c r="P104" s="37" t="str">
        <x:v>36</x:v>
      </x:c>
      <x:c r="Q104" s="37" t="str">
        <x:v>low</x:v>
      </x:c>
      <x:c r="R104" s="37" t="str">
        <x:v>review_required</x:v>
      </x:c>
      <x:c r="S104" s="37" t="str">
        <x:v>False</x:v>
      </x:c>
      <x:c r="T104" s="38" t="str">
        <x:v>Do not promote without scope review, exception review, and author-intent/baseline corroboration.</x:v>
      </x:c>
      <x:c r="U104" s="37" t="str">
        <x:v>55</x:v>
      </x:c>
      <x:c r="V104" s="37" t="str">
        <x:v>medium</x:v>
      </x:c>
      <x:c r="W104" s="37" t="str">
        <x:v>58</x:v>
      </x:c>
      <x:c r="X104" s="37" t="str">
        <x:v>medium</x:v>
      </x:c>
      <x:c r="Y104" s="37" t="str">
        <x:v>51</x:v>
      </x:c>
      <x:c r="Z104" s="37" t="str">
        <x:v>medium</x:v>
      </x:c>
      <x:c r="AA104" s="38" t="str">
        <x:v>alternative_profiles_present</x:v>
      </x:c>
      <x:c r="AB104" s="37" t="str">
        <x:v>review_required</x:v>
      </x:c>
    </x:row>
    <x:row r="105">
      <x:c r="A105" s="37" t="str">
        <x:v>RC-0104</x:v>
      </x:c>
      <x:c r="B105" s="37" t="str">
        <x:v>perk_entry_point</x:v>
      </x:c>
      <x:c r="C105" s="37" t="str">
        <x:v>observed_pattern</x:v>
      </x:c>
      <x:c r="D105" s="37" t="str">
        <x:v>repeated_implementation_profile</x:v>
      </x:c>
      <x:c r="E105" s="37" t="str">
        <x:v>Hand to Hand</x:v>
      </x:c>
      <x:c r="F105" s="37" t="str">
        <x:v>HandtoHand.esp</x:v>
      </x:c>
      <x:c r="G105" s="37" t="str">
        <x:v>standalone_main</x:v>
      </x:c>
      <x:c r="H105" s="38" t="str">
        <x:v>Within HandtoHand.esp, the perk_entry_point implementation repeatedly uses: Mod Lockpick Sweet Spot | Multiply 1 + Actor Value Mult | actor_value_float; observed center: 0.009999999776482582</x:v>
      </x:c>
      <x:c r="I105" s="37" t="str">
        <x:v>6</x:v>
      </x:c>
      <x:c r="J105" s="37" t="str">
        <x:v>observed_patterns:perk_entry_point:Mod Lockpick Sweet Spot | Multiply 1 + Actor Value Mult | actor_value_float</x:v>
      </x:c>
      <x:c r="K105" s="37" t="str">
        <x:v>descriptive_frequency</x:v>
      </x:c>
      <x:c r="L105" s="37" t="str">
        <x:v>exact_imported_or_local</x:v>
      </x:c>
      <x:c r="M105" s="37" t="str">
        <x:v>alternative_profiles_present</x:v>
      </x:c>
      <x:c r="N105" s="37" t="str">
        <x:v>7</x:v>
      </x:c>
      <x:c r="O105" s="37" t="str"/>
      <x:c r="P105" s="37" t="str">
        <x:v>42</x:v>
      </x:c>
      <x:c r="Q105" s="37" t="str">
        <x:v>low</x:v>
      </x:c>
      <x:c r="R105" s="37" t="str">
        <x:v>review_required</x:v>
      </x:c>
      <x:c r="S105" s="37" t="str">
        <x:v>False</x:v>
      </x:c>
      <x:c r="T105" s="38" t="str">
        <x:v>Do not promote without scope review, exception review, and author-intent/baseline corroboration.</x:v>
      </x:c>
      <x:c r="U105" s="37" t="str">
        <x:v>62</x:v>
      </x:c>
      <x:c r="V105" s="37" t="str">
        <x:v>medium</x:v>
      </x:c>
      <x:c r="W105" s="37" t="str">
        <x:v>58</x:v>
      </x:c>
      <x:c r="X105" s="37" t="str">
        <x:v>medium</x:v>
      </x:c>
      <x:c r="Y105" s="37" t="str">
        <x:v>55</x:v>
      </x:c>
      <x:c r="Z105" s="37" t="str">
        <x:v>medium</x:v>
      </x:c>
      <x:c r="AA105" s="38" t="str">
        <x:v>alternative_profiles_present</x:v>
      </x:c>
      <x:c r="AB105" s="37" t="str">
        <x:v>review_required</x:v>
      </x:c>
    </x:row>
    <x:row r="106">
      <x:c r="A106" s="37" t="str">
        <x:v>RC-0105</x:v>
      </x:c>
      <x:c r="B106" s="37" t="str">
        <x:v>perk_entry_point</x:v>
      </x:c>
      <x:c r="C106" s="37" t="str">
        <x:v>observed_pattern</x:v>
      </x:c>
      <x:c r="D106" s="37" t="str">
        <x:v>repeated_implementation_profile</x:v>
      </x:c>
      <x:c r="E106" s="37" t="str">
        <x:v>Hand to Hand</x:v>
      </x:c>
      <x:c r="F106" s="37" t="str">
        <x:v>HandtoHand.esp</x:v>
      </x:c>
      <x:c r="G106" s="37" t="str">
        <x:v>standalone_main</x:v>
      </x:c>
      <x:c r="H106" s="38" t="str">
        <x:v>Within HandtoHand.esp, the perk_entry_point implementation repeatedly uses: Mod Lockpick Sweet Spot | Multiply Value | float; observed center: 0.375</x:v>
      </x:c>
      <x:c r="I106" s="37" t="str">
        <x:v>4</x:v>
      </x:c>
      <x:c r="J106" s="37" t="str">
        <x:v>observed_patterns:perk_entry_point:Mod Lockpick Sweet Spot | Multiply Value | float</x:v>
      </x:c>
      <x:c r="K106" s="37" t="str">
        <x:v>descriptive_frequency</x:v>
      </x:c>
      <x:c r="L106" s="37" t="str">
        <x:v>exact_imported_or_local</x:v>
      </x:c>
      <x:c r="M106" s="37" t="str">
        <x:v>alternative_profiles_present</x:v>
      </x:c>
      <x:c r="N106" s="37" t="str">
        <x:v>7</x:v>
      </x:c>
      <x:c r="O106" s="37" t="str"/>
      <x:c r="P106" s="37" t="str">
        <x:v>36</x:v>
      </x:c>
      <x:c r="Q106" s="37" t="str">
        <x:v>low</x:v>
      </x:c>
      <x:c r="R106" s="37" t="str">
        <x:v>review_required</x:v>
      </x:c>
      <x:c r="S106" s="37" t="str">
        <x:v>False</x:v>
      </x:c>
      <x:c r="T106" s="38" t="str">
        <x:v>Do not promote without scope review, exception review, and author-intent/baseline corroboration.</x:v>
      </x:c>
      <x:c r="U106" s="37" t="str">
        <x:v>55</x:v>
      </x:c>
      <x:c r="V106" s="37" t="str">
        <x:v>medium</x:v>
      </x:c>
      <x:c r="W106" s="37" t="str">
        <x:v>58</x:v>
      </x:c>
      <x:c r="X106" s="37" t="str">
        <x:v>medium</x:v>
      </x:c>
      <x:c r="Y106" s="37" t="str">
        <x:v>51</x:v>
      </x:c>
      <x:c r="Z106" s="37" t="str">
        <x:v>medium</x:v>
      </x:c>
      <x:c r="AA106" s="38" t="str">
        <x:v>alternative_profiles_present</x:v>
      </x:c>
      <x:c r="AB106" s="37" t="str">
        <x:v>review_required</x:v>
      </x:c>
    </x:row>
    <x:row r="107">
      <x:c r="A107" s="37" t="str">
        <x:v>RC-0106</x:v>
      </x:c>
      <x:c r="B107" s="37" t="str">
        <x:v>perk_entry_point</x:v>
      </x:c>
      <x:c r="C107" s="37" t="str">
        <x:v>observed_pattern</x:v>
      </x:c>
      <x:c r="D107" s="37" t="str">
        <x:v>repeated_implementation_profile</x:v>
      </x:c>
      <x:c r="E107" s="37" t="str">
        <x:v>Hand to Hand</x:v>
      </x:c>
      <x:c r="F107" s="37" t="str">
        <x:v>HandtoHand.esp</x:v>
      </x:c>
      <x:c r="G107" s="37" t="str">
        <x:v>standalone_main</x:v>
      </x:c>
      <x:c r="H107" s="38" t="str">
        <x:v>Within HandtoHand.esp, the perk_entry_point implementation repeatedly uses: Mod Pickpocket Chance | Add Value | float; observed center: 50.0</x:v>
      </x:c>
      <x:c r="I107" s="37" t="str">
        <x:v>3</x:v>
      </x:c>
      <x:c r="J107" s="37" t="str">
        <x:v>observed_patterns:perk_entry_point:Mod Pickpocket Chance | Add Value | float</x:v>
      </x:c>
      <x:c r="K107" s="37" t="str">
        <x:v>descriptive_frequency</x:v>
      </x:c>
      <x:c r="L107" s="37" t="str">
        <x:v>exact_imported_or_local</x:v>
      </x:c>
      <x:c r="M107" s="37" t="str">
        <x:v>alternative_profiles_present</x:v>
      </x:c>
      <x:c r="N107" s="37" t="str">
        <x:v>7</x:v>
      </x:c>
      <x:c r="O107" s="37" t="str"/>
      <x:c r="P107" s="37" t="str">
        <x:v>36</x:v>
      </x:c>
      <x:c r="Q107" s="37" t="str">
        <x:v>low</x:v>
      </x:c>
      <x:c r="R107" s="37" t="str">
        <x:v>review_required</x:v>
      </x:c>
      <x:c r="S107" s="37" t="str">
        <x:v>False</x:v>
      </x:c>
      <x:c r="T107" s="38" t="str">
        <x:v>Do not promote without scope review, exception review, and author-intent/baseline corroboration.</x:v>
      </x:c>
      <x:c r="U107" s="37" t="str">
        <x:v>55</x:v>
      </x:c>
      <x:c r="V107" s="37" t="str">
        <x:v>medium</x:v>
      </x:c>
      <x:c r="W107" s="37" t="str">
        <x:v>58</x:v>
      </x:c>
      <x:c r="X107" s="37" t="str">
        <x:v>medium</x:v>
      </x:c>
      <x:c r="Y107" s="37" t="str">
        <x:v>51</x:v>
      </x:c>
      <x:c r="Z107" s="37" t="str">
        <x:v>medium</x:v>
      </x:c>
      <x:c r="AA107" s="38" t="str">
        <x:v>alternative_profiles_present</x:v>
      </x:c>
      <x:c r="AB107" s="37" t="str">
        <x:v>review_required</x:v>
      </x:c>
    </x:row>
    <x:row r="108">
      <x:c r="A108" s="37" t="str">
        <x:v>RC-0107</x:v>
      </x:c>
      <x:c r="B108" s="37" t="str">
        <x:v>perk_entry_point</x:v>
      </x:c>
      <x:c r="C108" s="37" t="str">
        <x:v>observed_pattern</x:v>
      </x:c>
      <x:c r="D108" s="37" t="str">
        <x:v>repeated_implementation_profile</x:v>
      </x:c>
      <x:c r="E108" s="37" t="str">
        <x:v>Hand to Hand</x:v>
      </x:c>
      <x:c r="F108" s="37" t="str">
        <x:v>HandtoHand.esp</x:v>
      </x:c>
      <x:c r="G108" s="37" t="str">
        <x:v>standalone_main</x:v>
      </x:c>
      <x:c r="H108" s="38" t="str">
        <x:v>Within HandtoHand.esp, the perk_entry_point implementation repeatedly uses: Mod Power Attack Damage | Multiply Value | float; observed center: 1.3300000429153442</x:v>
      </x:c>
      <x:c r="I108" s="37" t="str">
        <x:v>7</x:v>
      </x:c>
      <x:c r="J108" s="37" t="str">
        <x:v>observed_patterns:perk_entry_point:Mod Power Attack Damage | Multiply Value | float</x:v>
      </x:c>
      <x:c r="K108" s="37" t="str">
        <x:v>descriptive_frequency</x:v>
      </x:c>
      <x:c r="L108" s="37" t="str">
        <x:v>exact_imported_or_local</x:v>
      </x:c>
      <x:c r="M108" s="37" t="str">
        <x:v>alternative_profiles_present</x:v>
      </x:c>
      <x:c r="N108" s="37" t="str">
        <x:v>7</x:v>
      </x:c>
      <x:c r="O108" s="37" t="str"/>
      <x:c r="P108" s="37" t="str">
        <x:v>42</x:v>
      </x:c>
      <x:c r="Q108" s="37" t="str">
        <x:v>low</x:v>
      </x:c>
      <x:c r="R108" s="37" t="str">
        <x:v>review_required</x:v>
      </x:c>
      <x:c r="S108" s="37" t="str">
        <x:v>False</x:v>
      </x:c>
      <x:c r="T108" s="38" t="str">
        <x:v>Do not promote without scope review, exception review, and author-intent/baseline corroboration.</x:v>
      </x:c>
      <x:c r="U108" s="37" t="str">
        <x:v>62</x:v>
      </x:c>
      <x:c r="V108" s="37" t="str">
        <x:v>medium</x:v>
      </x:c>
      <x:c r="W108" s="37" t="str">
        <x:v>58</x:v>
      </x:c>
      <x:c r="X108" s="37" t="str">
        <x:v>medium</x:v>
      </x:c>
      <x:c r="Y108" s="37" t="str">
        <x:v>55</x:v>
      </x:c>
      <x:c r="Z108" s="37" t="str">
        <x:v>medium</x:v>
      </x:c>
      <x:c r="AA108" s="38" t="str">
        <x:v>alternative_profiles_present</x:v>
      </x:c>
      <x:c r="AB108" s="37" t="str">
        <x:v>review_required</x:v>
      </x:c>
    </x:row>
    <x:row r="109">
      <x:c r="A109" s="37" t="str">
        <x:v>RC-0108</x:v>
      </x:c>
      <x:c r="B109" s="37" t="str">
        <x:v>perk_entry_point</x:v>
      </x:c>
      <x:c r="C109" s="37" t="str">
        <x:v>observed_pattern</x:v>
      </x:c>
      <x:c r="D109" s="37" t="str">
        <x:v>repeated_implementation_profile</x:v>
      </x:c>
      <x:c r="E109" s="37" t="str">
        <x:v>Hand to Hand</x:v>
      </x:c>
      <x:c r="F109" s="37" t="str">
        <x:v>HandtoHand.esp</x:v>
      </x:c>
      <x:c r="G109" s="37" t="str">
        <x:v>standalone_main</x:v>
      </x:c>
      <x:c r="H109" s="38" t="str">
        <x:v>Within HandtoHand.esp, the perk_entry_point implementation repeatedly uses: Mod Spell Duration | Multiply Value | float; observed center: 2.0</x:v>
      </x:c>
      <x:c r="I109" s="37" t="str">
        <x:v>3</x:v>
      </x:c>
      <x:c r="J109" s="37" t="str">
        <x:v>observed_patterns:perk_entry_point:Mod Spell Duration | Multiply Value | float</x:v>
      </x:c>
      <x:c r="K109" s="37" t="str">
        <x:v>descriptive_frequency</x:v>
      </x:c>
      <x:c r="L109" s="37" t="str">
        <x:v>exact_imported_or_local</x:v>
      </x:c>
      <x:c r="M109" s="37" t="str">
        <x:v>alternative_profiles_present</x:v>
      </x:c>
      <x:c r="N109" s="37" t="str">
        <x:v>7</x:v>
      </x:c>
      <x:c r="O109" s="37" t="str"/>
      <x:c r="P109" s="37" t="str">
        <x:v>36</x:v>
      </x:c>
      <x:c r="Q109" s="37" t="str">
        <x:v>low</x:v>
      </x:c>
      <x:c r="R109" s="37" t="str">
        <x:v>review_required</x:v>
      </x:c>
      <x:c r="S109" s="37" t="str">
        <x:v>False</x:v>
      </x:c>
      <x:c r="T109" s="38" t="str">
        <x:v>Do not promote without scope review, exception review, and author-intent/baseline corroboration.</x:v>
      </x:c>
      <x:c r="U109" s="37" t="str">
        <x:v>55</x:v>
      </x:c>
      <x:c r="V109" s="37" t="str">
        <x:v>medium</x:v>
      </x:c>
      <x:c r="W109" s="37" t="str">
        <x:v>58</x:v>
      </x:c>
      <x:c r="X109" s="37" t="str">
        <x:v>medium</x:v>
      </x:c>
      <x:c r="Y109" s="37" t="str">
        <x:v>51</x:v>
      </x:c>
      <x:c r="Z109" s="37" t="str">
        <x:v>medium</x:v>
      </x:c>
      <x:c r="AA109" s="38" t="str">
        <x:v>alternative_profiles_present</x:v>
      </x:c>
      <x:c r="AB109" s="37" t="str">
        <x:v>review_required</x:v>
      </x:c>
    </x:row>
    <x:row r="110">
      <x:c r="A110" s="37" t="str">
        <x:v>RC-0109</x:v>
      </x:c>
      <x:c r="B110" s="37" t="str">
        <x:v>perk_entry_point</x:v>
      </x:c>
      <x:c r="C110" s="37" t="str">
        <x:v>observed_pattern</x:v>
      </x:c>
      <x:c r="D110" s="37" t="str">
        <x:v>repeated_implementation_profile</x:v>
      </x:c>
      <x:c r="E110" s="37" t="str">
        <x:v>Hand to Hand</x:v>
      </x:c>
      <x:c r="F110" s="37" t="str">
        <x:v>HandtoHand.esp</x:v>
      </x:c>
      <x:c r="G110" s="37" t="str">
        <x:v>standalone_main</x:v>
      </x:c>
      <x:c r="H110" s="38" t="str">
        <x:v>Within HandtoHand.esp, the perk_entry_point implementation repeatedly uses: Mod Spell Magnitude | Multiply Value | float; observed center: 1.6899999976158142</x:v>
      </x:c>
      <x:c r="I110" s="37" t="str">
        <x:v>14</x:v>
      </x:c>
      <x:c r="J110" s="37" t="str">
        <x:v>observed_patterns:perk_entry_point:Mod Spell Magnitude | Multiply Value | float</x:v>
      </x:c>
      <x:c r="K110" s="37" t="str">
        <x:v>descriptive_frequency</x:v>
      </x:c>
      <x:c r="L110" s="37" t="str">
        <x:v>exact_imported_or_local</x:v>
      </x:c>
      <x:c r="M110" s="37" t="str">
        <x:v>alternative_profiles_present</x:v>
      </x:c>
      <x:c r="N110" s="37" t="str">
        <x:v>7</x:v>
      </x:c>
      <x:c r="O110" s="37" t="str"/>
      <x:c r="P110" s="37" t="str">
        <x:v>48</x:v>
      </x:c>
      <x:c r="Q110" s="37" t="str">
        <x:v>low</x:v>
      </x:c>
      <x:c r="R110" s="37" t="str">
        <x:v>review_required</x:v>
      </x:c>
      <x:c r="S110" s="37" t="str">
        <x:v>False</x:v>
      </x:c>
      <x:c r="T110" s="38" t="str">
        <x:v>Do not promote without scope review, exception review, and author-intent/baseline corroboration.</x:v>
      </x:c>
      <x:c r="U110" s="37" t="str">
        <x:v>70</x:v>
      </x:c>
      <x:c r="V110" s="37" t="str">
        <x:v>medium</x:v>
      </x:c>
      <x:c r="W110" s="37" t="str">
        <x:v>58</x:v>
      </x:c>
      <x:c r="X110" s="37" t="str">
        <x:v>medium</x:v>
      </x:c>
      <x:c r="Y110" s="37" t="str">
        <x:v>60</x:v>
      </x:c>
      <x:c r="Z110" s="37" t="str">
        <x:v>medium</x:v>
      </x:c>
      <x:c r="AA110" s="38" t="str">
        <x:v>alternative_profiles_present</x:v>
      </x:c>
      <x:c r="AB110" s="37" t="str">
        <x:v>review_required</x:v>
      </x:c>
    </x:row>
    <x:row r="111">
      <x:c r="A111" s="37" t="str">
        <x:v>RC-0110</x:v>
      </x:c>
      <x:c r="B111" s="37" t="str">
        <x:v>perk_entry_point</x:v>
      </x:c>
      <x:c r="C111" s="37" t="str">
        <x:v>observed_pattern</x:v>
      </x:c>
      <x:c r="D111" s="37" t="str">
        <x:v>repeated_implementation_profile</x:v>
      </x:c>
      <x:c r="E111" s="37" t="str">
        <x:v>Mysticism</x:v>
      </x:c>
      <x:c r="F111" s="37" t="str">
        <x:v>MysticismMagic.esp</x:v>
      </x:c>
      <x:c r="G111" s="37" t="str">
        <x:v>main</x:v>
      </x:c>
      <x:c r="H111" s="38" t="str">
        <x:v>Within MysticismMagic.esp, the perk_entry_point implementation repeatedly uses: Activate | Add Activate Choice | </x:v>
      </x:c>
      <x:c r="I111" s="37" t="str">
        <x:v>5</x:v>
      </x:c>
      <x:c r="J111" s="37" t="str">
        <x:v>observed_patterns:perk_entry_point:Activate | Add Activate Choice | </x:v>
      </x:c>
      <x:c r="K111" s="37" t="str">
        <x:v>descriptive_frequency</x:v>
      </x:c>
      <x:c r="L111" s="37" t="str">
        <x:v>mixed_or_external_missing</x:v>
      </x:c>
      <x:c r="M111" s="37" t="str">
        <x:v>alternative_profiles_present</x:v>
      </x:c>
      <x:c r="N111" s="37" t="str">
        <x:v>2</x:v>
      </x:c>
      <x:c r="O111" s="37" t="str"/>
      <x:c r="P111" s="37" t="str">
        <x:v>42</x:v>
      </x:c>
      <x:c r="Q111" s="37" t="str">
        <x:v>low</x:v>
      </x:c>
      <x:c r="R111" s="37" t="str">
        <x:v>review_required</x:v>
      </x:c>
      <x:c r="S111" s="37" t="str">
        <x:v>False</x:v>
      </x:c>
      <x:c r="T111" s="38" t="str">
        <x:v>Do not promote without scope review, exception review, and author-intent/baseline corroboration.</x:v>
      </x:c>
      <x:c r="U111" s="37" t="str">
        <x:v>62</x:v>
      </x:c>
      <x:c r="V111" s="37" t="str">
        <x:v>medium</x:v>
      </x:c>
      <x:c r="W111" s="37" t="str">
        <x:v>48</x:v>
      </x:c>
      <x:c r="X111" s="37" t="str">
        <x:v>low</x:v>
      </x:c>
      <x:c r="Y111" s="37" t="str">
        <x:v>46</x:v>
      </x:c>
      <x:c r="Z111" s="37" t="str">
        <x:v>low</x:v>
      </x:c>
      <x:c r="AA111" s="38" t="str">
        <x:v>alternative_profiles_present;baseline_incomplete</x:v>
      </x:c>
      <x:c r="AB111" s="37" t="str">
        <x:v>review_required</x:v>
      </x:c>
    </x:row>
    <x:row r="112">
      <x:c r="A112" s="37" t="str">
        <x:v>RC-0111</x:v>
      </x:c>
      <x:c r="B112" s="37" t="str">
        <x:v>perk_entry_point</x:v>
      </x:c>
      <x:c r="C112" s="37" t="str">
        <x:v>observed_pattern</x:v>
      </x:c>
      <x:c r="D112" s="37" t="str">
        <x:v>repeated_implementation_profile</x:v>
      </x:c>
      <x:c r="E112" s="37" t="str">
        <x:v>Mysticism</x:v>
      </x:c>
      <x:c r="F112" s="37" t="str">
        <x:v>MysticismMagic.esp</x:v>
      </x:c>
      <x:c r="G112" s="37" t="str">
        <x:v>main</x:v>
      </x:c>
      <x:c r="H112" s="38" t="str">
        <x:v>Within MysticismMagic.esp, the perk_entry_point implementation repeatedly uses: Mod Attack Damage | Multiply Value | float; observed center: 0.75</x:v>
      </x:c>
      <x:c r="I112" s="37" t="str">
        <x:v>5</x:v>
      </x:c>
      <x:c r="J112" s="37" t="str">
        <x:v>observed_patterns:perk_entry_point:Mod Attack Damage | Multiply Value | float</x:v>
      </x:c>
      <x:c r="K112" s="37" t="str">
        <x:v>descriptive_frequency</x:v>
      </x:c>
      <x:c r="L112" s="37" t="str">
        <x:v>mixed_or_external_missing</x:v>
      </x:c>
      <x:c r="M112" s="37" t="str">
        <x:v>alternative_profiles_present</x:v>
      </x:c>
      <x:c r="N112" s="37" t="str">
        <x:v>2</x:v>
      </x:c>
      <x:c r="O112" s="37" t="str"/>
      <x:c r="P112" s="37" t="str">
        <x:v>42</x:v>
      </x:c>
      <x:c r="Q112" s="37" t="str">
        <x:v>low</x:v>
      </x:c>
      <x:c r="R112" s="37" t="str">
        <x:v>review_required</x:v>
      </x:c>
      <x:c r="S112" s="37" t="str">
        <x:v>False</x:v>
      </x:c>
      <x:c r="T112" s="38" t="str">
        <x:v>Do not promote without scope review, exception review, and author-intent/baseline corroboration.</x:v>
      </x:c>
      <x:c r="U112" s="37" t="str">
        <x:v>62</x:v>
      </x:c>
      <x:c r="V112" s="37" t="str">
        <x:v>medium</x:v>
      </x:c>
      <x:c r="W112" s="37" t="str">
        <x:v>48</x:v>
      </x:c>
      <x:c r="X112" s="37" t="str">
        <x:v>low</x:v>
      </x:c>
      <x:c r="Y112" s="37" t="str">
        <x:v>46</x:v>
      </x:c>
      <x:c r="Z112" s="37" t="str">
        <x:v>low</x:v>
      </x:c>
      <x:c r="AA112" s="38" t="str">
        <x:v>alternative_profiles_present;baseline_incomplete</x:v>
      </x:c>
      <x:c r="AB112" s="37" t="str">
        <x:v>review_required</x:v>
      </x:c>
    </x:row>
    <x:row r="113">
      <x:c r="A113" s="37" t="str">
        <x:v>RC-0112</x:v>
      </x:c>
      <x:c r="B113" s="37" t="str">
        <x:v>perk_entry_point</x:v>
      </x:c>
      <x:c r="C113" s="37" t="str">
        <x:v>observed_pattern</x:v>
      </x:c>
      <x:c r="D113" s="37" t="str">
        <x:v>repeated_implementation_profile</x:v>
      </x:c>
      <x:c r="E113" s="37" t="str">
        <x:v>Mysticism</x:v>
      </x:c>
      <x:c r="F113" s="37" t="str">
        <x:v>MysticismMagic.esp</x:v>
      </x:c>
      <x:c r="G113" s="37" t="str">
        <x:v>main</x:v>
      </x:c>
      <x:c r="H113" s="38" t="str">
        <x:v>Within MysticismMagic.esp, the perk_entry_point implementation repeatedly uses: Mod Spell Magnitude | Multiply Value | float; observed center: 1.5</x:v>
      </x:c>
      <x:c r="I113" s="37" t="str">
        <x:v>4</x:v>
      </x:c>
      <x:c r="J113" s="37" t="str">
        <x:v>observed_patterns:perk_entry_point:Mod Spell Magnitude | Multiply Value | float</x:v>
      </x:c>
      <x:c r="K113" s="37" t="str">
        <x:v>descriptive_frequency</x:v>
      </x:c>
      <x:c r="L113" s="37" t="str">
        <x:v>mixed_or_external_missing</x:v>
      </x:c>
      <x:c r="M113" s="37" t="str">
        <x:v>alternative_profiles_present</x:v>
      </x:c>
      <x:c r="N113" s="37" t="str">
        <x:v>2</x:v>
      </x:c>
      <x:c r="O113" s="37" t="str"/>
      <x:c r="P113" s="37" t="str">
        <x:v>36</x:v>
      </x:c>
      <x:c r="Q113" s="37" t="str">
        <x:v>low</x:v>
      </x:c>
      <x:c r="R113" s="37" t="str">
        <x:v>review_required</x:v>
      </x:c>
      <x:c r="S113" s="37" t="str">
        <x:v>False</x:v>
      </x:c>
      <x:c r="T113" s="38" t="str">
        <x:v>Do not promote without scope review, exception review, and author-intent/baseline corroboration.</x:v>
      </x:c>
      <x:c r="U113" s="37" t="str">
        <x:v>55</x:v>
      </x:c>
      <x:c r="V113" s="37" t="str">
        <x:v>medium</x:v>
      </x:c>
      <x:c r="W113" s="37" t="str">
        <x:v>48</x:v>
      </x:c>
      <x:c r="X113" s="37" t="str">
        <x:v>low</x:v>
      </x:c>
      <x:c r="Y113" s="37" t="str">
        <x:v>42</x:v>
      </x:c>
      <x:c r="Z113" s="37" t="str">
        <x:v>low</x:v>
      </x:c>
      <x:c r="AA113" s="38" t="str">
        <x:v>alternative_profiles_present;baseline_incomplete</x:v>
      </x:c>
      <x:c r="AB113" s="37" t="str">
        <x:v>review_required</x:v>
      </x:c>
    </x:row>
    <x:row r="114">
      <x:c r="A114" s="37" t="str">
        <x:v>RC-0113</x:v>
      </x:c>
      <x:c r="B114" s="37" t="str">
        <x:v>spell_numeric</x:v>
      </x:c>
      <x:c r="C114" s="37" t="str">
        <x:v>observed_pattern</x:v>
      </x:c>
      <x:c r="D114" s="37" t="str">
        <x:v>repeated_implementation_profile</x:v>
      </x:c>
      <x:c r="E114" s="37" t="str">
        <x:v>Adamant</x:v>
      </x:c>
      <x:c r="F114" s="37" t="str">
        <x:v>Adamant.esp</x:v>
      </x:c>
      <x:c r="G114" s="37" t="str">
        <x:v>main</x:v>
      </x:c>
      <x:c r="H114" s="38" t="str">
        <x:v>Within Adamant.esp, the spell_numeric implementation repeatedly uses:  | skill  | Constant Effect | Self | ; observed center: 0.0</x:v>
      </x:c>
      <x:c r="I114" s="37" t="str">
        <x:v>7</x:v>
      </x:c>
      <x:c r="J114" s="37" t="str">
        <x:v>observed_patterns:spell_numeric: | skill  | Constant Effect | Self | </x:v>
      </x:c>
      <x:c r="K114" s="37" t="str">
        <x:v>descriptive_frequency</x:v>
      </x:c>
      <x:c r="L114" s="37" t="str">
        <x:v>mixed_or_external_missing</x:v>
      </x:c>
      <x:c r="M114" s="37" t="str">
        <x:v>alternative_profiles_present</x:v>
      </x:c>
      <x:c r="N114" s="37" t="str">
        <x:v>36</x:v>
      </x:c>
      <x:c r="O114" s="37" t="str"/>
      <x:c r="P114" s="37" t="str">
        <x:v>42</x:v>
      </x:c>
      <x:c r="Q114" s="37" t="str">
        <x:v>low</x:v>
      </x:c>
      <x:c r="R114" s="37" t="str">
        <x:v>review_required</x:v>
      </x:c>
      <x:c r="S114" s="37" t="str">
        <x:v>False</x:v>
      </x:c>
      <x:c r="T114" s="38" t="str">
        <x:v>Do not promote without scope review, exception review, and author-intent/baseline corroboration.</x:v>
      </x:c>
      <x:c r="U114" s="37" t="str">
        <x:v>62</x:v>
      </x:c>
      <x:c r="V114" s="37" t="str">
        <x:v>medium</x:v>
      </x:c>
      <x:c r="W114" s="37" t="str">
        <x:v>43</x:v>
      </x:c>
      <x:c r="X114" s="37" t="str">
        <x:v>low</x:v>
      </x:c>
      <x:c r="Y114" s="37" t="str">
        <x:v>43</x:v>
      </x:c>
      <x:c r="Z114" s="37" t="str">
        <x:v>low</x:v>
      </x:c>
      <x:c r="AA114" s="38" t="str">
        <x:v>alternative_profiles_present;baseline_incomplete</x:v>
      </x:c>
      <x:c r="AB114" s="37" t="str">
        <x:v>review_required</x:v>
      </x:c>
    </x:row>
    <x:row r="115">
      <x:c r="A115" s="37" t="str">
        <x:v>RC-0114</x:v>
      </x:c>
      <x:c r="B115" s="37" t="str">
        <x:v>spell_numeric</x:v>
      </x:c>
      <x:c r="C115" s="37" t="str">
        <x:v>observed_pattern</x:v>
      </x:c>
      <x:c r="D115" s="37" t="str">
        <x:v>repeated_implementation_profile</x:v>
      </x:c>
      <x:c r="E115" s="37" t="str">
        <x:v>Adamant</x:v>
      </x:c>
      <x:c r="F115" s="37" t="str">
        <x:v>Adamant.esp</x:v>
      </x:c>
      <x:c r="G115" s="37" t="str">
        <x:v>main</x:v>
      </x:c>
      <x:c r="H115" s="38" t="str">
        <x:v>Within Adamant.esp, the spell_numeric implementation repeatedly uses:  | skill  | Fire and Forget | Target Actor | ; observed center: 210.0</x:v>
      </x:c>
      <x:c r="I115" s="37" t="str">
        <x:v>7</x:v>
      </x:c>
      <x:c r="J115" s="37" t="str">
        <x:v>observed_patterns:spell_numeric: | skill  | Fire and Forget | Target Actor | </x:v>
      </x:c>
      <x:c r="K115" s="37" t="str">
        <x:v>descriptive_frequency</x:v>
      </x:c>
      <x:c r="L115" s="37" t="str">
        <x:v>mixed_or_external_missing</x:v>
      </x:c>
      <x:c r="M115" s="37" t="str">
        <x:v>alternative_profiles_present</x:v>
      </x:c>
      <x:c r="N115" s="37" t="str">
        <x:v>36</x:v>
      </x:c>
      <x:c r="O115" s="37" t="str"/>
      <x:c r="P115" s="37" t="str">
        <x:v>42</x:v>
      </x:c>
      <x:c r="Q115" s="37" t="str">
        <x:v>low</x:v>
      </x:c>
      <x:c r="R115" s="37" t="str">
        <x:v>review_required</x:v>
      </x:c>
      <x:c r="S115" s="37" t="str">
        <x:v>False</x:v>
      </x:c>
      <x:c r="T115" s="38" t="str">
        <x:v>Do not promote without scope review, exception review, and author-intent/baseline corroboration.</x:v>
      </x:c>
      <x:c r="U115" s="37" t="str">
        <x:v>62</x:v>
      </x:c>
      <x:c r="V115" s="37" t="str">
        <x:v>medium</x:v>
      </x:c>
      <x:c r="W115" s="37" t="str">
        <x:v>43</x:v>
      </x:c>
      <x:c r="X115" s="37" t="str">
        <x:v>low</x:v>
      </x:c>
      <x:c r="Y115" s="37" t="str">
        <x:v>43</x:v>
      </x:c>
      <x:c r="Z115" s="37" t="str">
        <x:v>low</x:v>
      </x:c>
      <x:c r="AA115" s="38" t="str">
        <x:v>alternative_profiles_present;baseline_incomplete</x:v>
      </x:c>
      <x:c r="AB115" s="37" t="str">
        <x:v>review_required</x:v>
      </x:c>
    </x:row>
    <x:row r="116">
      <x:c r="A116" s="37" t="str">
        <x:v>RC-0115</x:v>
      </x:c>
      <x:c r="B116" s="37" t="str">
        <x:v>spell_numeric</x:v>
      </x:c>
      <x:c r="C116" s="37" t="str">
        <x:v>observed_pattern</x:v>
      </x:c>
      <x:c r="D116" s="37" t="str">
        <x:v>repeated_implementation_profile</x:v>
      </x:c>
      <x:c r="E116" s="37" t="str">
        <x:v>Adamant</x:v>
      </x:c>
      <x:c r="F116" s="37" t="str">
        <x:v>Adamant.esp</x:v>
      </x:c>
      <x:c r="G116" s="37" t="str">
        <x:v>main</x:v>
      </x:c>
      <x:c r="H116" s="38" t="str">
        <x:v>Within Adamant.esp, the spell_numeric implementation repeatedly uses: Alteration | skill 100 | Fire and Forget | Self | Peak Value Modifier; observed center: 634.0</x:v>
      </x:c>
      <x:c r="I116" s="37" t="str">
        <x:v>5</x:v>
      </x:c>
      <x:c r="J116" s="37" t="str">
        <x:v>observed_patterns:spell_numeric:Alteration | skill 100 | Fire and Forget | Self | Peak Value Modifier</x:v>
      </x:c>
      <x:c r="K116" s="37" t="str">
        <x:v>descriptive_frequency</x:v>
      </x:c>
      <x:c r="L116" s="37" t="str">
        <x:v>mixed_or_external_missing</x:v>
      </x:c>
      <x:c r="M116" s="37" t="str">
        <x:v>alternative_profiles_present</x:v>
      </x:c>
      <x:c r="N116" s="37" t="str">
        <x:v>36</x:v>
      </x:c>
      <x:c r="O116" s="37" t="str"/>
      <x:c r="P116" s="37" t="str">
        <x:v>42</x:v>
      </x:c>
      <x:c r="Q116" s="37" t="str">
        <x:v>low</x:v>
      </x:c>
      <x:c r="R116" s="37" t="str">
        <x:v>review_required</x:v>
      </x:c>
      <x:c r="S116" s="37" t="str">
        <x:v>False</x:v>
      </x:c>
      <x:c r="T116" s="38" t="str">
        <x:v>Do not promote without scope review, exception review, and author-intent/baseline corroboration.</x:v>
      </x:c>
      <x:c r="U116" s="37" t="str">
        <x:v>62</x:v>
      </x:c>
      <x:c r="V116" s="37" t="str">
        <x:v>medium</x:v>
      </x:c>
      <x:c r="W116" s="37" t="str">
        <x:v>43</x:v>
      </x:c>
      <x:c r="X116" s="37" t="str">
        <x:v>low</x:v>
      </x:c>
      <x:c r="Y116" s="37" t="str">
        <x:v>43</x:v>
      </x:c>
      <x:c r="Z116" s="37" t="str">
        <x:v>low</x:v>
      </x:c>
      <x:c r="AA116" s="38" t="str">
        <x:v>alternative_profiles_present;baseline_incomplete</x:v>
      </x:c>
      <x:c r="AB116" s="37" t="str">
        <x:v>review_required</x:v>
      </x:c>
    </x:row>
    <x:row r="117">
      <x:c r="A117" s="37" t="str">
        <x:v>RC-0116</x:v>
      </x:c>
      <x:c r="B117" s="37" t="str">
        <x:v>spell_numeric</x:v>
      </x:c>
      <x:c r="C117" s="37" t="str">
        <x:v>observed_pattern</x:v>
      </x:c>
      <x:c r="D117" s="37" t="str">
        <x:v>repeated_implementation_profile</x:v>
      </x:c>
      <x:c r="E117" s="37" t="str">
        <x:v>Adamant</x:v>
      </x:c>
      <x:c r="F117" s="37" t="str">
        <x:v>Adamant.esp</x:v>
      </x:c>
      <x:c r="G117" s="37" t="str">
        <x:v>main</x:v>
      </x:c>
      <x:c r="H117" s="38" t="str">
        <x:v>Within Adamant.esp, the spell_numeric implementation repeatedly uses: Alteration | skill 50 | Fire and Forget | Self | Peak Value Modifier; observed center: 260.5</x:v>
      </x:c>
      <x:c r="I117" s="37" t="str">
        <x:v>6</x:v>
      </x:c>
      <x:c r="J117" s="37" t="str">
        <x:v>observed_patterns:spell_numeric:Alteration | skill 50 | Fire and Forget | Self | Peak Value Modifier</x:v>
      </x:c>
      <x:c r="K117" s="37" t="str">
        <x:v>descriptive_frequency</x:v>
      </x:c>
      <x:c r="L117" s="37" t="str">
        <x:v>mixed_or_external_missing</x:v>
      </x:c>
      <x:c r="M117" s="37" t="str">
        <x:v>alternative_profiles_present</x:v>
      </x:c>
      <x:c r="N117" s="37" t="str">
        <x:v>36</x:v>
      </x:c>
      <x:c r="O117" s="37" t="str"/>
      <x:c r="P117" s="37" t="str">
        <x:v>42</x:v>
      </x:c>
      <x:c r="Q117" s="37" t="str">
        <x:v>low</x:v>
      </x:c>
      <x:c r="R117" s="37" t="str">
        <x:v>review_required</x:v>
      </x:c>
      <x:c r="S117" s="37" t="str">
        <x:v>False</x:v>
      </x:c>
      <x:c r="T117" s="38" t="str">
        <x:v>Do not promote without scope review, exception review, and author-intent/baseline corroboration.</x:v>
      </x:c>
      <x:c r="U117" s="37" t="str">
        <x:v>62</x:v>
      </x:c>
      <x:c r="V117" s="37" t="str">
        <x:v>medium</x:v>
      </x:c>
      <x:c r="W117" s="37" t="str">
        <x:v>43</x:v>
      </x:c>
      <x:c r="X117" s="37" t="str">
        <x:v>low</x:v>
      </x:c>
      <x:c r="Y117" s="37" t="str">
        <x:v>43</x:v>
      </x:c>
      <x:c r="Z117" s="37" t="str">
        <x:v>low</x:v>
      </x:c>
      <x:c r="AA117" s="38" t="str">
        <x:v>alternative_profiles_present;baseline_incomplete</x:v>
      </x:c>
      <x:c r="AB117" s="37" t="str">
        <x:v>review_required</x:v>
      </x:c>
    </x:row>
    <x:row r="118">
      <x:c r="A118" s="37" t="str">
        <x:v>RC-0117</x:v>
      </x:c>
      <x:c r="B118" s="37" t="str">
        <x:v>spell_numeric</x:v>
      </x:c>
      <x:c r="C118" s="37" t="str">
        <x:v>observed_pattern</x:v>
      </x:c>
      <x:c r="D118" s="37" t="str">
        <x:v>repeated_implementation_profile</x:v>
      </x:c>
      <x:c r="E118" s="37" t="str">
        <x:v>Adamant</x:v>
      </x:c>
      <x:c r="F118" s="37" t="str">
        <x:v>Adamant.esp</x:v>
      </x:c>
      <x:c r="G118" s="37" t="str">
        <x:v>main</x:v>
      </x:c>
      <x:c r="H118" s="38" t="str">
        <x:v>Within Adamant.esp, the spell_numeric implementation repeatedly uses: Conjuration | skill 100 | Fire and Forget | Target Location | Summon Creature; observed center: 625.0</x:v>
      </x:c>
      <x:c r="I118" s="37" t="str">
        <x:v>3</x:v>
      </x:c>
      <x:c r="J118" s="37" t="str">
        <x:v>observed_patterns:spell_numeric:Conjuration | skill 100 | Fire and Forget | Target Location | Summon Creature</x:v>
      </x:c>
      <x:c r="K118" s="37" t="str">
        <x:v>descriptive_frequency</x:v>
      </x:c>
      <x:c r="L118" s="37" t="str">
        <x:v>mixed_or_external_missing</x:v>
      </x:c>
      <x:c r="M118" s="37" t="str">
        <x:v>alternative_profiles_present</x:v>
      </x:c>
      <x:c r="N118" s="37" t="str">
        <x:v>36</x:v>
      </x:c>
      <x:c r="O118" s="37" t="str"/>
      <x:c r="P118" s="37" t="str">
        <x:v>36</x:v>
      </x:c>
      <x:c r="Q118" s="37" t="str">
        <x:v>low</x:v>
      </x:c>
      <x:c r="R118" s="37" t="str">
        <x:v>review_required</x:v>
      </x:c>
      <x:c r="S118" s="37" t="str">
        <x:v>False</x:v>
      </x:c>
      <x:c r="T118" s="38" t="str">
        <x:v>Do not promote without scope review, exception review, and author-intent/baseline corroboration.</x:v>
      </x:c>
      <x:c r="U118" s="37" t="str">
        <x:v>55</x:v>
      </x:c>
      <x:c r="V118" s="37" t="str">
        <x:v>medium</x:v>
      </x:c>
      <x:c r="W118" s="37" t="str">
        <x:v>43</x:v>
      </x:c>
      <x:c r="X118" s="37" t="str">
        <x:v>low</x:v>
      </x:c>
      <x:c r="Y118" s="37" t="str">
        <x:v>40</x:v>
      </x:c>
      <x:c r="Z118" s="37" t="str">
        <x:v>low</x:v>
      </x:c>
      <x:c r="AA118" s="38" t="str">
        <x:v>alternative_profiles_present;baseline_incomplete</x:v>
      </x:c>
      <x:c r="AB118" s="37" t="str">
        <x:v>review_required</x:v>
      </x:c>
    </x:row>
    <x:row r="119">
      <x:c r="A119" s="37" t="str">
        <x:v>RC-0118</x:v>
      </x:c>
      <x:c r="B119" s="37" t="str">
        <x:v>spell_numeric</x:v>
      </x:c>
      <x:c r="C119" s="37" t="str">
        <x:v>observed_pattern</x:v>
      </x:c>
      <x:c r="D119" s="37" t="str">
        <x:v>repeated_implementation_profile</x:v>
      </x:c>
      <x:c r="E119" s="37" t="str">
        <x:v>Adamant</x:v>
      </x:c>
      <x:c r="F119" s="37" t="str">
        <x:v>Adamant.esp</x:v>
      </x:c>
      <x:c r="G119" s="37" t="str">
        <x:v>main</x:v>
      </x:c>
      <x:c r="H119" s="38" t="str">
        <x:v>Within Adamant.esp, the spell_numeric implementation repeatedly uses: Conjuration | skill 25 | Fire and Forget | Self | Bound Weapon; observed center: 182.0</x:v>
      </x:c>
      <x:c r="I119" s="37" t="str">
        <x:v>7</x:v>
      </x:c>
      <x:c r="J119" s="37" t="str">
        <x:v>observed_patterns:spell_numeric:Conjuration | skill 25 | Fire and Forget | Self | Bound Weapon</x:v>
      </x:c>
      <x:c r="K119" s="37" t="str">
        <x:v>descriptive_frequency</x:v>
      </x:c>
      <x:c r="L119" s="37" t="str">
        <x:v>mixed_or_external_missing</x:v>
      </x:c>
      <x:c r="M119" s="37" t="str">
        <x:v>alternative_profiles_present</x:v>
      </x:c>
      <x:c r="N119" s="37" t="str">
        <x:v>36</x:v>
      </x:c>
      <x:c r="O119" s="37" t="str"/>
      <x:c r="P119" s="37" t="str">
        <x:v>42</x:v>
      </x:c>
      <x:c r="Q119" s="37" t="str">
        <x:v>low</x:v>
      </x:c>
      <x:c r="R119" s="37" t="str">
        <x:v>review_required</x:v>
      </x:c>
      <x:c r="S119" s="37" t="str">
        <x:v>False</x:v>
      </x:c>
      <x:c r="T119" s="38" t="str">
        <x:v>Do not promote without scope review, exception review, and author-intent/baseline corroboration.</x:v>
      </x:c>
      <x:c r="U119" s="37" t="str">
        <x:v>62</x:v>
      </x:c>
      <x:c r="V119" s="37" t="str">
        <x:v>medium</x:v>
      </x:c>
      <x:c r="W119" s="37" t="str">
        <x:v>43</x:v>
      </x:c>
      <x:c r="X119" s="37" t="str">
        <x:v>low</x:v>
      </x:c>
      <x:c r="Y119" s="37" t="str">
        <x:v>43</x:v>
      </x:c>
      <x:c r="Z119" s="37" t="str">
        <x:v>low</x:v>
      </x:c>
      <x:c r="AA119" s="38" t="str">
        <x:v>alternative_profiles_present;baseline_incomplete</x:v>
      </x:c>
      <x:c r="AB119" s="37" t="str">
        <x:v>review_required</x:v>
      </x:c>
    </x:row>
    <x:row r="120">
      <x:c r="A120" s="37" t="str">
        <x:v>RC-0119</x:v>
      </x:c>
      <x:c r="B120" s="37" t="str">
        <x:v>spell_numeric</x:v>
      </x:c>
      <x:c r="C120" s="37" t="str">
        <x:v>observed_pattern</x:v>
      </x:c>
      <x:c r="D120" s="37" t="str">
        <x:v>repeated_implementation_profile</x:v>
      </x:c>
      <x:c r="E120" s="37" t="str">
        <x:v>Adamant</x:v>
      </x:c>
      <x:c r="F120" s="37" t="str">
        <x:v>Adamant.esp</x:v>
      </x:c>
      <x:c r="G120" s="37" t="str">
        <x:v>main</x:v>
      </x:c>
      <x:c r="H120" s="38" t="str">
        <x:v>Within Adamant.esp, the spell_numeric implementation repeatedly uses: Conjuration | skill 25 | Fire and Forget | Target Location | Summon Creature; observed center: 150.0</x:v>
      </x:c>
      <x:c r="I120" s="37" t="str">
        <x:v>3</x:v>
      </x:c>
      <x:c r="J120" s="37" t="str">
        <x:v>observed_patterns:spell_numeric:Conjuration | skill 25 | Fire and Forget | Target Location | Summon Creature</x:v>
      </x:c>
      <x:c r="K120" s="37" t="str">
        <x:v>descriptive_frequency</x:v>
      </x:c>
      <x:c r="L120" s="37" t="str">
        <x:v>mixed_or_external_missing</x:v>
      </x:c>
      <x:c r="M120" s="37" t="str">
        <x:v>alternative_profiles_present</x:v>
      </x:c>
      <x:c r="N120" s="37" t="str">
        <x:v>36</x:v>
      </x:c>
      <x:c r="O120" s="37" t="str"/>
      <x:c r="P120" s="37" t="str">
        <x:v>36</x:v>
      </x:c>
      <x:c r="Q120" s="37" t="str">
        <x:v>low</x:v>
      </x:c>
      <x:c r="R120" s="37" t="str">
        <x:v>review_required</x:v>
      </x:c>
      <x:c r="S120" s="37" t="str">
        <x:v>False</x:v>
      </x:c>
      <x:c r="T120" s="38" t="str">
        <x:v>Do not promote without scope review, exception review, and author-intent/baseline corroboration.</x:v>
      </x:c>
      <x:c r="U120" s="37" t="str">
        <x:v>55</x:v>
      </x:c>
      <x:c r="V120" s="37" t="str">
        <x:v>medium</x:v>
      </x:c>
      <x:c r="W120" s="37" t="str">
        <x:v>43</x:v>
      </x:c>
      <x:c r="X120" s="37" t="str">
        <x:v>low</x:v>
      </x:c>
      <x:c r="Y120" s="37" t="str">
        <x:v>40</x:v>
      </x:c>
      <x:c r="Z120" s="37" t="str">
        <x:v>low</x:v>
      </x:c>
      <x:c r="AA120" s="38" t="str">
        <x:v>alternative_profiles_present;baseline_incomplete</x:v>
      </x:c>
      <x:c r="AB120" s="37" t="str">
        <x:v>review_required</x:v>
      </x:c>
    </x:row>
    <x:row r="121">
      <x:c r="A121" s="37" t="str">
        <x:v>RC-0120</x:v>
      </x:c>
      <x:c r="B121" s="37" t="str">
        <x:v>spell_numeric</x:v>
      </x:c>
      <x:c r="C121" s="37" t="str">
        <x:v>observed_pattern</x:v>
      </x:c>
      <x:c r="D121" s="37" t="str">
        <x:v>repeated_implementation_profile</x:v>
      </x:c>
      <x:c r="E121" s="37" t="str">
        <x:v>Adamant</x:v>
      </x:c>
      <x:c r="F121" s="37" t="str">
        <x:v>Adamant.esp</x:v>
      </x:c>
      <x:c r="G121" s="37" t="str">
        <x:v>main</x:v>
      </x:c>
      <x:c r="H121" s="38" t="str">
        <x:v>Within Adamant.esp, the spell_numeric implementation repeatedly uses: Conjuration | skill 50 | Fire and Forget | Target Location | Summon Creature; observed center: 260.0</x:v>
      </x:c>
      <x:c r="I121" s="37" t="str">
        <x:v>3</x:v>
      </x:c>
      <x:c r="J121" s="37" t="str">
        <x:v>observed_patterns:spell_numeric:Conjuration | skill 50 | Fire and Forget | Target Location | Summon Creature</x:v>
      </x:c>
      <x:c r="K121" s="37" t="str">
        <x:v>descriptive_frequency</x:v>
      </x:c>
      <x:c r="L121" s="37" t="str">
        <x:v>mixed_or_external_missing</x:v>
      </x:c>
      <x:c r="M121" s="37" t="str">
        <x:v>alternative_profiles_present</x:v>
      </x:c>
      <x:c r="N121" s="37" t="str">
        <x:v>36</x:v>
      </x:c>
      <x:c r="O121" s="37" t="str"/>
      <x:c r="P121" s="37" t="str">
        <x:v>36</x:v>
      </x:c>
      <x:c r="Q121" s="37" t="str">
        <x:v>low</x:v>
      </x:c>
      <x:c r="R121" s="37" t="str">
        <x:v>review_required</x:v>
      </x:c>
      <x:c r="S121" s="37" t="str">
        <x:v>False</x:v>
      </x:c>
      <x:c r="T121" s="38" t="str">
        <x:v>Do not promote without scope review, exception review, and author-intent/baseline corroboration.</x:v>
      </x:c>
      <x:c r="U121" s="37" t="str">
        <x:v>55</x:v>
      </x:c>
      <x:c r="V121" s="37" t="str">
        <x:v>medium</x:v>
      </x:c>
      <x:c r="W121" s="37" t="str">
        <x:v>43</x:v>
      </x:c>
      <x:c r="X121" s="37" t="str">
        <x:v>low</x:v>
      </x:c>
      <x:c r="Y121" s="37" t="str">
        <x:v>40</x:v>
      </x:c>
      <x:c r="Z121" s="37" t="str">
        <x:v>low</x:v>
      </x:c>
      <x:c r="AA121" s="38" t="str">
        <x:v>alternative_profiles_present;baseline_incomplete</x:v>
      </x:c>
      <x:c r="AB121" s="37" t="str">
        <x:v>review_required</x:v>
      </x:c>
    </x:row>
    <x:row r="122">
      <x:c r="A122" s="37" t="str">
        <x:v>RC-0121</x:v>
      </x:c>
      <x:c r="B122" s="37" t="str">
        <x:v>spell_numeric</x:v>
      </x:c>
      <x:c r="C122" s="37" t="str">
        <x:v>observed_pattern</x:v>
      </x:c>
      <x:c r="D122" s="37" t="str">
        <x:v>repeated_implementation_profile</x:v>
      </x:c>
      <x:c r="E122" s="37" t="str">
        <x:v>Adamant</x:v>
      </x:c>
      <x:c r="F122" s="37" t="str">
        <x:v>Adamant.esp</x:v>
      </x:c>
      <x:c r="G122" s="37" t="str">
        <x:v>main</x:v>
      </x:c>
      <x:c r="H122" s="38" t="str">
        <x:v>Within Adamant.esp, the spell_numeric implementation repeatedly uses: Conjuration | skill 75 | Fire and Forget | Target Location | Summon Creature; observed center: 383.0</x:v>
      </x:c>
      <x:c r="I122" s="37" t="str">
        <x:v>3</x:v>
      </x:c>
      <x:c r="J122" s="37" t="str">
        <x:v>observed_patterns:spell_numeric:Conjuration | skill 75 | Fire and Forget | Target Location | Summon Creature</x:v>
      </x:c>
      <x:c r="K122" s="37" t="str">
        <x:v>descriptive_frequency</x:v>
      </x:c>
      <x:c r="L122" s="37" t="str">
        <x:v>mixed_or_external_missing</x:v>
      </x:c>
      <x:c r="M122" s="37" t="str">
        <x:v>alternative_profiles_present</x:v>
      </x:c>
      <x:c r="N122" s="37" t="str">
        <x:v>36</x:v>
      </x:c>
      <x:c r="O122" s="37" t="str"/>
      <x:c r="P122" s="37" t="str">
        <x:v>36</x:v>
      </x:c>
      <x:c r="Q122" s="37" t="str">
        <x:v>low</x:v>
      </x:c>
      <x:c r="R122" s="37" t="str">
        <x:v>review_required</x:v>
      </x:c>
      <x:c r="S122" s="37" t="str">
        <x:v>False</x:v>
      </x:c>
      <x:c r="T122" s="38" t="str">
        <x:v>Do not promote without scope review, exception review, and author-intent/baseline corroboration.</x:v>
      </x:c>
      <x:c r="U122" s="37" t="str">
        <x:v>55</x:v>
      </x:c>
      <x:c r="V122" s="37" t="str">
        <x:v>medium</x:v>
      </x:c>
      <x:c r="W122" s="37" t="str">
        <x:v>43</x:v>
      </x:c>
      <x:c r="X122" s="37" t="str">
        <x:v>low</x:v>
      </x:c>
      <x:c r="Y122" s="37" t="str">
        <x:v>40</x:v>
      </x:c>
      <x:c r="Z122" s="37" t="str">
        <x:v>low</x:v>
      </x:c>
      <x:c r="AA122" s="38" t="str">
        <x:v>alternative_profiles_present;baseline_incomplete</x:v>
      </x:c>
      <x:c r="AB122" s="37" t="str">
        <x:v>review_required</x:v>
      </x:c>
    </x:row>
    <x:row r="123">
      <x:c r="A123" s="37" t="str">
        <x:v>RC-0122</x:v>
      </x:c>
      <x:c r="B123" s="37" t="str">
        <x:v>spell_numeric</x:v>
      </x:c>
      <x:c r="C123" s="37" t="str">
        <x:v>observed_pattern</x:v>
      </x:c>
      <x:c r="D123" s="37" t="str">
        <x:v>repeated_implementation_profile</x:v>
      </x:c>
      <x:c r="E123" s="37" t="str">
        <x:v>Adamant</x:v>
      </x:c>
      <x:c r="F123" s="37" t="str">
        <x:v>Adamant.esp</x:v>
      </x:c>
      <x:c r="G123" s="37" t="str">
        <x:v>main</x:v>
      </x:c>
      <x:c r="H123" s="38" t="str">
        <x:v>Within Adamant.esp, the spell_numeric implementation repeatedly uses: Destruction | skill 0 | Concentration | Aimed | Dual Value Modifier; observed center: 19.5</x:v>
      </x:c>
      <x:c r="I123" s="37" t="str">
        <x:v>4</x:v>
      </x:c>
      <x:c r="J123" s="37" t="str">
        <x:v>observed_patterns:spell_numeric:Destruction | skill 0 | Concentration | Aimed | Dual Value Modifier</x:v>
      </x:c>
      <x:c r="K123" s="37" t="str">
        <x:v>descriptive_frequency</x:v>
      </x:c>
      <x:c r="L123" s="37" t="str">
        <x:v>mixed_or_external_missing</x:v>
      </x:c>
      <x:c r="M123" s="37" t="str">
        <x:v>alternative_profiles_present</x:v>
      </x:c>
      <x:c r="N123" s="37" t="str">
        <x:v>36</x:v>
      </x:c>
      <x:c r="O123" s="37" t="str"/>
      <x:c r="P123" s="37" t="str">
        <x:v>36</x:v>
      </x:c>
      <x:c r="Q123" s="37" t="str">
        <x:v>low</x:v>
      </x:c>
      <x:c r="R123" s="37" t="str">
        <x:v>review_required</x:v>
      </x:c>
      <x:c r="S123" s="37" t="str">
        <x:v>False</x:v>
      </x:c>
      <x:c r="T123" s="38" t="str">
        <x:v>Do not promote without scope review, exception review, and author-intent/baseline corroboration.</x:v>
      </x:c>
      <x:c r="U123" s="37" t="str">
        <x:v>55</x:v>
      </x:c>
      <x:c r="V123" s="37" t="str">
        <x:v>medium</x:v>
      </x:c>
      <x:c r="W123" s="37" t="str">
        <x:v>43</x:v>
      </x:c>
      <x:c r="X123" s="37" t="str">
        <x:v>low</x:v>
      </x:c>
      <x:c r="Y123" s="37" t="str">
        <x:v>40</x:v>
      </x:c>
      <x:c r="Z123" s="37" t="str">
        <x:v>low</x:v>
      </x:c>
      <x:c r="AA123" s="38" t="str">
        <x:v>alternative_profiles_present;baseline_incomplete</x:v>
      </x:c>
      <x:c r="AB123" s="37" t="str">
        <x:v>review_required</x:v>
      </x:c>
    </x:row>
    <x:row r="124">
      <x:c r="A124" s="37" t="str">
        <x:v>RC-0123</x:v>
      </x:c>
      <x:c r="B124" s="37" t="str">
        <x:v>spell_numeric</x:v>
      </x:c>
      <x:c r="C124" s="37" t="str">
        <x:v>observed_pattern</x:v>
      </x:c>
      <x:c r="D124" s="37" t="str">
        <x:v>repeated_implementation_profile</x:v>
      </x:c>
      <x:c r="E124" s="37" t="str">
        <x:v>Adamant</x:v>
      </x:c>
      <x:c r="F124" s="37" t="str">
        <x:v>Adamant.esp</x:v>
      </x:c>
      <x:c r="G124" s="37" t="str">
        <x:v>main</x:v>
      </x:c>
      <x:c r="H124" s="38" t="str">
        <x:v>Within Adamant.esp, the spell_numeric implementation repeatedly uses: Destruction | skill 0 | Fire and Forget | Target Actor | Script; observed center: 0.0</x:v>
      </x:c>
      <x:c r="I124" s="37" t="str">
        <x:v>4</x:v>
      </x:c>
      <x:c r="J124" s="37" t="str">
        <x:v>observed_patterns:spell_numeric:Destruction | skill 0 | Fire and Forget | Target Actor | Script</x:v>
      </x:c>
      <x:c r="K124" s="37" t="str">
        <x:v>descriptive_frequency</x:v>
      </x:c>
      <x:c r="L124" s="37" t="str">
        <x:v>mixed_or_external_missing</x:v>
      </x:c>
      <x:c r="M124" s="37" t="str">
        <x:v>alternative_profiles_present</x:v>
      </x:c>
      <x:c r="N124" s="37" t="str">
        <x:v>36</x:v>
      </x:c>
      <x:c r="O124" s="37" t="str"/>
      <x:c r="P124" s="37" t="str">
        <x:v>36</x:v>
      </x:c>
      <x:c r="Q124" s="37" t="str">
        <x:v>low</x:v>
      </x:c>
      <x:c r="R124" s="37" t="str">
        <x:v>review_required</x:v>
      </x:c>
      <x:c r="S124" s="37" t="str">
        <x:v>False</x:v>
      </x:c>
      <x:c r="T124" s="38" t="str">
        <x:v>Do not promote without scope review, exception review, and author-intent/baseline corroboration.</x:v>
      </x:c>
      <x:c r="U124" s="37" t="str">
        <x:v>55</x:v>
      </x:c>
      <x:c r="V124" s="37" t="str">
        <x:v>medium</x:v>
      </x:c>
      <x:c r="W124" s="37" t="str">
        <x:v>43</x:v>
      </x:c>
      <x:c r="X124" s="37" t="str">
        <x:v>low</x:v>
      </x:c>
      <x:c r="Y124" s="37" t="str">
        <x:v>40</x:v>
      </x:c>
      <x:c r="Z124" s="37" t="str">
        <x:v>low</x:v>
      </x:c>
      <x:c r="AA124" s="38" t="str">
        <x:v>alternative_profiles_present;baseline_incomplete</x:v>
      </x:c>
      <x:c r="AB124" s="37" t="str">
        <x:v>review_required</x:v>
      </x:c>
    </x:row>
    <x:row r="125">
      <x:c r="A125" s="37" t="str">
        <x:v>RC-0124</x:v>
      </x:c>
      <x:c r="B125" s="37" t="str">
        <x:v>spell_numeric</x:v>
      </x:c>
      <x:c r="C125" s="37" t="str">
        <x:v>observed_pattern</x:v>
      </x:c>
      <x:c r="D125" s="37" t="str">
        <x:v>repeated_implementation_profile</x:v>
      </x:c>
      <x:c r="E125" s="37" t="str">
        <x:v>Adamant</x:v>
      </x:c>
      <x:c r="F125" s="37" t="str">
        <x:v>Adamant.esp</x:v>
      </x:c>
      <x:c r="G125" s="37" t="str">
        <x:v>main</x:v>
      </x:c>
      <x:c r="H125" s="38" t="str">
        <x:v>Within Adamant.esp, the spell_numeric implementation repeatedly uses: Destruction | skill 0 | Fire and Forget | Target Actor | Value Modifier; observed center: 0.0</x:v>
      </x:c>
      <x:c r="I125" s="37" t="str">
        <x:v>4</x:v>
      </x:c>
      <x:c r="J125" s="37" t="str">
        <x:v>observed_patterns:spell_numeric:Destruction | skill 0 | Fire and Forget | Target Actor | Value Modifier</x:v>
      </x:c>
      <x:c r="K125" s="37" t="str">
        <x:v>descriptive_frequency</x:v>
      </x:c>
      <x:c r="L125" s="37" t="str">
        <x:v>mixed_or_external_missing</x:v>
      </x:c>
      <x:c r="M125" s="37" t="str">
        <x:v>alternative_profiles_present</x:v>
      </x:c>
      <x:c r="N125" s="37" t="str">
        <x:v>36</x:v>
      </x:c>
      <x:c r="O125" s="37" t="str"/>
      <x:c r="P125" s="37" t="str">
        <x:v>36</x:v>
      </x:c>
      <x:c r="Q125" s="37" t="str">
        <x:v>low</x:v>
      </x:c>
      <x:c r="R125" s="37" t="str">
        <x:v>review_required</x:v>
      </x:c>
      <x:c r="S125" s="37" t="str">
        <x:v>False</x:v>
      </x:c>
      <x:c r="T125" s="38" t="str">
        <x:v>Do not promote without scope review, exception review, and author-intent/baseline corroboration.</x:v>
      </x:c>
      <x:c r="U125" s="37" t="str">
        <x:v>55</x:v>
      </x:c>
      <x:c r="V125" s="37" t="str">
        <x:v>medium</x:v>
      </x:c>
      <x:c r="W125" s="37" t="str">
        <x:v>43</x:v>
      </x:c>
      <x:c r="X125" s="37" t="str">
        <x:v>low</x:v>
      </x:c>
      <x:c r="Y125" s="37" t="str">
        <x:v>40</x:v>
      </x:c>
      <x:c r="Z125" s="37" t="str">
        <x:v>low</x:v>
      </x:c>
      <x:c r="AA125" s="38" t="str">
        <x:v>alternative_profiles_present;baseline_incomplete</x:v>
      </x:c>
      <x:c r="AB125" s="37" t="str">
        <x:v>review_required</x:v>
      </x:c>
    </x:row>
    <x:row r="126">
      <x:c r="A126" s="37" t="str">
        <x:v>RC-0125</x:v>
      </x:c>
      <x:c r="B126" s="37" t="str">
        <x:v>spell_numeric</x:v>
      </x:c>
      <x:c r="C126" s="37" t="str">
        <x:v>observed_pattern</x:v>
      </x:c>
      <x:c r="D126" s="37" t="str">
        <x:v>repeated_implementation_profile</x:v>
      </x:c>
      <x:c r="E126" s="37" t="str">
        <x:v>Adamant</x:v>
      </x:c>
      <x:c r="F126" s="37" t="str">
        <x:v>Adamant.esp</x:v>
      </x:c>
      <x:c r="G126" s="37" t="str">
        <x:v>main</x:v>
      </x:c>
      <x:c r="H126" s="38" t="str">
        <x:v>Within Adamant.esp, the spell_numeric implementation repeatedly uses: Destruction | skill 0 | Fire and Forget | Touch | Dual Value Modifier; observed center: 44.5</x:v>
      </x:c>
      <x:c r="I126" s="37" t="str">
        <x:v>6</x:v>
      </x:c>
      <x:c r="J126" s="37" t="str">
        <x:v>observed_patterns:spell_numeric:Destruction | skill 0 | Fire and Forget | Touch | Dual Value Modifier</x:v>
      </x:c>
      <x:c r="K126" s="37" t="str">
        <x:v>descriptive_frequency</x:v>
      </x:c>
      <x:c r="L126" s="37" t="str">
        <x:v>mixed_or_external_missing</x:v>
      </x:c>
      <x:c r="M126" s="37" t="str">
        <x:v>alternative_profiles_present</x:v>
      </x:c>
      <x:c r="N126" s="37" t="str">
        <x:v>36</x:v>
      </x:c>
      <x:c r="O126" s="37" t="str"/>
      <x:c r="P126" s="37" t="str">
        <x:v>42</x:v>
      </x:c>
      <x:c r="Q126" s="37" t="str">
        <x:v>low</x:v>
      </x:c>
      <x:c r="R126" s="37" t="str">
        <x:v>review_required</x:v>
      </x:c>
      <x:c r="S126" s="37" t="str">
        <x:v>False</x:v>
      </x:c>
      <x:c r="T126" s="38" t="str">
        <x:v>Do not promote without scope review, exception review, and author-intent/baseline corroboration.</x:v>
      </x:c>
      <x:c r="U126" s="37" t="str">
        <x:v>62</x:v>
      </x:c>
      <x:c r="V126" s="37" t="str">
        <x:v>medium</x:v>
      </x:c>
      <x:c r="W126" s="37" t="str">
        <x:v>43</x:v>
      </x:c>
      <x:c r="X126" s="37" t="str">
        <x:v>low</x:v>
      </x:c>
      <x:c r="Y126" s="37" t="str">
        <x:v>43</x:v>
      </x:c>
      <x:c r="Z126" s="37" t="str">
        <x:v>low</x:v>
      </x:c>
      <x:c r="AA126" s="38" t="str">
        <x:v>alternative_profiles_present;baseline_incomplete</x:v>
      </x:c>
      <x:c r="AB126" s="37" t="str">
        <x:v>review_required</x:v>
      </x:c>
    </x:row>
    <x:row r="127">
      <x:c r="A127" s="37" t="str">
        <x:v>RC-0126</x:v>
      </x:c>
      <x:c r="B127" s="37" t="str">
        <x:v>spell_numeric</x:v>
      </x:c>
      <x:c r="C127" s="37" t="str">
        <x:v>observed_pattern</x:v>
      </x:c>
      <x:c r="D127" s="37" t="str">
        <x:v>repeated_implementation_profile</x:v>
      </x:c>
      <x:c r="E127" s="37" t="str">
        <x:v>Adamant</x:v>
      </x:c>
      <x:c r="F127" s="37" t="str">
        <x:v>Adamant.esp</x:v>
      </x:c>
      <x:c r="G127" s="37" t="str">
        <x:v>main</x:v>
      </x:c>
      <x:c r="H127" s="38" t="str">
        <x:v>Within Adamant.esp, the spell_numeric implementation repeatedly uses: Destruction | skill 0 | Fire and Forget | Touch | Value Modifier; observed center: 39.0</x:v>
      </x:c>
      <x:c r="I127" s="37" t="str">
        <x:v>6</x:v>
      </x:c>
      <x:c r="J127" s="37" t="str">
        <x:v>observed_patterns:spell_numeric:Destruction | skill 0 | Fire and Forget | Touch | Value Modifier</x:v>
      </x:c>
      <x:c r="K127" s="37" t="str">
        <x:v>descriptive_frequency</x:v>
      </x:c>
      <x:c r="L127" s="37" t="str">
        <x:v>mixed_or_external_missing</x:v>
      </x:c>
      <x:c r="M127" s="37" t="str">
        <x:v>alternative_profiles_present</x:v>
      </x:c>
      <x:c r="N127" s="37" t="str">
        <x:v>36</x:v>
      </x:c>
      <x:c r="O127" s="37" t="str"/>
      <x:c r="P127" s="37" t="str">
        <x:v>42</x:v>
      </x:c>
      <x:c r="Q127" s="37" t="str">
        <x:v>low</x:v>
      </x:c>
      <x:c r="R127" s="37" t="str">
        <x:v>review_required</x:v>
      </x:c>
      <x:c r="S127" s="37" t="str">
        <x:v>False</x:v>
      </x:c>
      <x:c r="T127" s="38" t="str">
        <x:v>Do not promote without scope review, exception review, and author-intent/baseline corroboration.</x:v>
      </x:c>
      <x:c r="U127" s="37" t="str">
        <x:v>62</x:v>
      </x:c>
      <x:c r="V127" s="37" t="str">
        <x:v>medium</x:v>
      </x:c>
      <x:c r="W127" s="37" t="str">
        <x:v>43</x:v>
      </x:c>
      <x:c r="X127" s="37" t="str">
        <x:v>low</x:v>
      </x:c>
      <x:c r="Y127" s="37" t="str">
        <x:v>43</x:v>
      </x:c>
      <x:c r="Z127" s="37" t="str">
        <x:v>low</x:v>
      </x:c>
      <x:c r="AA127" s="38" t="str">
        <x:v>alternative_profiles_present;baseline_incomplete</x:v>
      </x:c>
      <x:c r="AB127" s="37" t="str">
        <x:v>review_required</x:v>
      </x:c>
    </x:row>
    <x:row r="128">
      <x:c r="A128" s="37" t="str">
        <x:v>RC-0127</x:v>
      </x:c>
      <x:c r="B128" s="37" t="str">
        <x:v>spell_numeric</x:v>
      </x:c>
      <x:c r="C128" s="37" t="str">
        <x:v>observed_pattern</x:v>
      </x:c>
      <x:c r="D128" s="37" t="str">
        <x:v>repeated_implementation_profile</x:v>
      </x:c>
      <x:c r="E128" s="37" t="str">
        <x:v>Adamant</x:v>
      </x:c>
      <x:c r="F128" s="37" t="str">
        <x:v>Adamant.esp</x:v>
      </x:c>
      <x:c r="G128" s="37" t="str">
        <x:v>main</x:v>
      </x:c>
      <x:c r="H128" s="38" t="str">
        <x:v>Within Adamant.esp, the spell_numeric implementation repeatedly uses: None | skill 0 | Concentration | Aimed | Peak Value Modifier; observed center: 0.0</x:v>
      </x:c>
      <x:c r="I128" s="37" t="str">
        <x:v>4</x:v>
      </x:c>
      <x:c r="J128" s="37" t="str">
        <x:v>observed_patterns:spell_numeric:None | skill 0 | Concentration | Aimed | Peak Value Modifier</x:v>
      </x:c>
      <x:c r="K128" s="37" t="str">
        <x:v>descriptive_frequency</x:v>
      </x:c>
      <x:c r="L128" s="37" t="str">
        <x:v>mixed_or_external_missing</x:v>
      </x:c>
      <x:c r="M128" s="37" t="str">
        <x:v>alternative_profiles_present</x:v>
      </x:c>
      <x:c r="N128" s="37" t="str">
        <x:v>36</x:v>
      </x:c>
      <x:c r="O128" s="37" t="str"/>
      <x:c r="P128" s="37" t="str">
        <x:v>36</x:v>
      </x:c>
      <x:c r="Q128" s="37" t="str">
        <x:v>low</x:v>
      </x:c>
      <x:c r="R128" s="37" t="str">
        <x:v>review_required</x:v>
      </x:c>
      <x:c r="S128" s="37" t="str">
        <x:v>False</x:v>
      </x:c>
      <x:c r="T128" s="38" t="str">
        <x:v>Do not promote without scope review, exception review, and author-intent/baseline corroboration.</x:v>
      </x:c>
      <x:c r="U128" s="37" t="str">
        <x:v>55</x:v>
      </x:c>
      <x:c r="V128" s="37" t="str">
        <x:v>medium</x:v>
      </x:c>
      <x:c r="W128" s="37" t="str">
        <x:v>43</x:v>
      </x:c>
      <x:c r="X128" s="37" t="str">
        <x:v>low</x:v>
      </x:c>
      <x:c r="Y128" s="37" t="str">
        <x:v>40</x:v>
      </x:c>
      <x:c r="Z128" s="37" t="str">
        <x:v>low</x:v>
      </x:c>
      <x:c r="AA128" s="38" t="str">
        <x:v>alternative_profiles_present;baseline_incomplete</x:v>
      </x:c>
      <x:c r="AB128" s="37" t="str">
        <x:v>review_required</x:v>
      </x:c>
    </x:row>
    <x:row r="129">
      <x:c r="A129" s="37" t="str">
        <x:v>RC-0128</x:v>
      </x:c>
      <x:c r="B129" s="37" t="str">
        <x:v>spell_numeric</x:v>
      </x:c>
      <x:c r="C129" s="37" t="str">
        <x:v>observed_pattern</x:v>
      </x:c>
      <x:c r="D129" s="37" t="str">
        <x:v>repeated_implementation_profile</x:v>
      </x:c>
      <x:c r="E129" s="37" t="str">
        <x:v>Adamant</x:v>
      </x:c>
      <x:c r="F129" s="37" t="str">
        <x:v>Adamant.esp</x:v>
      </x:c>
      <x:c r="G129" s="37" t="str">
        <x:v>main</x:v>
      </x:c>
      <x:c r="H129" s="38" t="str">
        <x:v>Within Adamant.esp, the spell_numeric implementation repeatedly uses: None | skill 0 | Concentration | Aimed | Value Modifier; observed center: 0.0</x:v>
      </x:c>
      <x:c r="I129" s="37" t="str">
        <x:v>7</x:v>
      </x:c>
      <x:c r="J129" s="37" t="str">
        <x:v>observed_patterns:spell_numeric:None | skill 0 | Concentration | Aimed | Value Modifier</x:v>
      </x:c>
      <x:c r="K129" s="37" t="str">
        <x:v>descriptive_frequency</x:v>
      </x:c>
      <x:c r="L129" s="37" t="str">
        <x:v>mixed_or_external_missing</x:v>
      </x:c>
      <x:c r="M129" s="37" t="str">
        <x:v>alternative_profiles_present</x:v>
      </x:c>
      <x:c r="N129" s="37" t="str">
        <x:v>36</x:v>
      </x:c>
      <x:c r="O129" s="37" t="str"/>
      <x:c r="P129" s="37" t="str">
        <x:v>42</x:v>
      </x:c>
      <x:c r="Q129" s="37" t="str">
        <x:v>low</x:v>
      </x:c>
      <x:c r="R129" s="37" t="str">
        <x:v>review_required</x:v>
      </x:c>
      <x:c r="S129" s="37" t="str">
        <x:v>False</x:v>
      </x:c>
      <x:c r="T129" s="38" t="str">
        <x:v>Do not promote without scope review, exception review, and author-intent/baseline corroboration.</x:v>
      </x:c>
      <x:c r="U129" s="37" t="str">
        <x:v>62</x:v>
      </x:c>
      <x:c r="V129" s="37" t="str">
        <x:v>medium</x:v>
      </x:c>
      <x:c r="W129" s="37" t="str">
        <x:v>43</x:v>
      </x:c>
      <x:c r="X129" s="37" t="str">
        <x:v>low</x:v>
      </x:c>
      <x:c r="Y129" s="37" t="str">
        <x:v>43</x:v>
      </x:c>
      <x:c r="Z129" s="37" t="str">
        <x:v>low</x:v>
      </x:c>
      <x:c r="AA129" s="38" t="str">
        <x:v>alternative_profiles_present;baseline_incomplete</x:v>
      </x:c>
      <x:c r="AB129" s="37" t="str">
        <x:v>review_required</x:v>
      </x:c>
    </x:row>
    <x:row r="130">
      <x:c r="A130" s="37" t="str">
        <x:v>RC-0129</x:v>
      </x:c>
      <x:c r="B130" s="37" t="str">
        <x:v>spell_numeric</x:v>
      </x:c>
      <x:c r="C130" s="37" t="str">
        <x:v>observed_pattern</x:v>
      </x:c>
      <x:c r="D130" s="37" t="str">
        <x:v>repeated_implementation_profile</x:v>
      </x:c>
      <x:c r="E130" s="37" t="str">
        <x:v>Adamant</x:v>
      </x:c>
      <x:c r="F130" s="37" t="str">
        <x:v>Adamant.esp</x:v>
      </x:c>
      <x:c r="G130" s="37" t="str">
        <x:v>main</x:v>
      </x:c>
      <x:c r="H130" s="38" t="str">
        <x:v>Within Adamant.esp, the spell_numeric implementation repeatedly uses: None | skill 0 | Constant Effect | Self | Cloak; observed center: 0.0</x:v>
      </x:c>
      <x:c r="I130" s="37" t="str">
        <x:v>11</x:v>
      </x:c>
      <x:c r="J130" s="37" t="str">
        <x:v>observed_patterns:spell_numeric:None | skill 0 | Constant Effect | Self | Cloak</x:v>
      </x:c>
      <x:c r="K130" s="37" t="str">
        <x:v>descriptive_frequency</x:v>
      </x:c>
      <x:c r="L130" s="37" t="str">
        <x:v>mixed_or_external_missing</x:v>
      </x:c>
      <x:c r="M130" s="37" t="str">
        <x:v>alternative_profiles_present</x:v>
      </x:c>
      <x:c r="N130" s="37" t="str">
        <x:v>36</x:v>
      </x:c>
      <x:c r="O130" s="37" t="str"/>
      <x:c r="P130" s="37" t="str">
        <x:v>48</x:v>
      </x:c>
      <x:c r="Q130" s="37" t="str">
        <x:v>low</x:v>
      </x:c>
      <x:c r="R130" s="37" t="str">
        <x:v>review_required</x:v>
      </x:c>
      <x:c r="S130" s="37" t="str">
        <x:v>False</x:v>
      </x:c>
      <x:c r="T130" s="38" t="str">
        <x:v>Do not promote without scope review, exception review, and author-intent/baseline corroboration.</x:v>
      </x:c>
      <x:c r="U130" s="37" t="str">
        <x:v>70</x:v>
      </x:c>
      <x:c r="V130" s="37" t="str">
        <x:v>medium</x:v>
      </x:c>
      <x:c r="W130" s="37" t="str">
        <x:v>43</x:v>
      </x:c>
      <x:c r="X130" s="37" t="str">
        <x:v>low</x:v>
      </x:c>
      <x:c r="Y130" s="37" t="str">
        <x:v>48</x:v>
      </x:c>
      <x:c r="Z130" s="37" t="str">
        <x:v>low</x:v>
      </x:c>
      <x:c r="AA130" s="38" t="str">
        <x:v>alternative_profiles_present;baseline_incomplete</x:v>
      </x:c>
      <x:c r="AB130" s="37" t="str">
        <x:v>review_required</x:v>
      </x:c>
    </x:row>
    <x:row r="131">
      <x:c r="A131" s="37" t="str">
        <x:v>RC-0130</x:v>
      </x:c>
      <x:c r="B131" s="37" t="str">
        <x:v>spell_numeric</x:v>
      </x:c>
      <x:c r="C131" s="37" t="str">
        <x:v>observed_pattern</x:v>
      </x:c>
      <x:c r="D131" s="37" t="str">
        <x:v>repeated_implementation_profile</x:v>
      </x:c>
      <x:c r="E131" s="37" t="str">
        <x:v>Adamant</x:v>
      </x:c>
      <x:c r="F131" s="37" t="str">
        <x:v>Adamant.esp</x:v>
      </x:c>
      <x:c r="G131" s="37" t="str">
        <x:v>main</x:v>
      </x:c>
      <x:c r="H131" s="38" t="str">
        <x:v>Within Adamant.esp, the spell_numeric implementation repeatedly uses: None | skill 0 | Constant Effect | Self | Peak Value Modifier; observed center: 0.0</x:v>
      </x:c>
      <x:c r="I131" s="37" t="str">
        <x:v>23</x:v>
      </x:c>
      <x:c r="J131" s="37" t="str">
        <x:v>observed_patterns:spell_numeric:None | skill 0 | Constant Effect | Self | Peak Value Modifier</x:v>
      </x:c>
      <x:c r="K131" s="37" t="str">
        <x:v>descriptive_frequency</x:v>
      </x:c>
      <x:c r="L131" s="37" t="str">
        <x:v>mixed_or_external_missing</x:v>
      </x:c>
      <x:c r="M131" s="37" t="str">
        <x:v>alternative_profiles_present</x:v>
      </x:c>
      <x:c r="N131" s="37" t="str">
        <x:v>36</x:v>
      </x:c>
      <x:c r="O131" s="37" t="str"/>
      <x:c r="P131" s="37" t="str">
        <x:v>53</x:v>
      </x:c>
      <x:c r="Q131" s="37" t="str">
        <x:v>medium</x:v>
      </x:c>
      <x:c r="R131" s="37" t="str">
        <x:v>review_required</x:v>
      </x:c>
      <x:c r="S131" s="37" t="str">
        <x:v>False</x:v>
      </x:c>
      <x:c r="T131" s="38" t="str">
        <x:v>Do not promote without scope review, exception review, and author-intent/baseline corroboration.</x:v>
      </x:c>
      <x:c r="U131" s="37" t="str">
        <x:v>80</x:v>
      </x:c>
      <x:c r="V131" s="37" t="str">
        <x:v>high</x:v>
      </x:c>
      <x:c r="W131" s="37" t="str">
        <x:v>43</x:v>
      </x:c>
      <x:c r="X131" s="37" t="str">
        <x:v>low</x:v>
      </x:c>
      <x:c r="Y131" s="37" t="str">
        <x:v>53</x:v>
      </x:c>
      <x:c r="Z131" s="37" t="str">
        <x:v>medium</x:v>
      </x:c>
      <x:c r="AA131" s="38" t="str">
        <x:v>alternative_profiles_present;baseline_incomplete</x:v>
      </x:c>
      <x:c r="AB131" s="37" t="str">
        <x:v>review_required</x:v>
      </x:c>
    </x:row>
    <x:row r="132">
      <x:c r="A132" s="37" t="str">
        <x:v>RC-0131</x:v>
      </x:c>
      <x:c r="B132" s="37" t="str">
        <x:v>spell_numeric</x:v>
      </x:c>
      <x:c r="C132" s="37" t="str">
        <x:v>observed_pattern</x:v>
      </x:c>
      <x:c r="D132" s="37" t="str">
        <x:v>repeated_implementation_profile</x:v>
      </x:c>
      <x:c r="E132" s="37" t="str">
        <x:v>Adamant</x:v>
      </x:c>
      <x:c r="F132" s="37" t="str">
        <x:v>Adamant.esp</x:v>
      </x:c>
      <x:c r="G132" s="37" t="str">
        <x:v>main</x:v>
      </x:c>
      <x:c r="H132" s="38" t="str">
        <x:v>Within Adamant.esp, the spell_numeric implementation repeatedly uses: None | skill 0 | Constant Effect | Self | Script; observed center: 0.0</x:v>
      </x:c>
      <x:c r="I132" s="37" t="str">
        <x:v>58</x:v>
      </x:c>
      <x:c r="J132" s="37" t="str">
        <x:v>observed_patterns:spell_numeric:None | skill 0 | Constant Effect | Self | Script</x:v>
      </x:c>
      <x:c r="K132" s="37" t="str">
        <x:v>descriptive_frequency</x:v>
      </x:c>
      <x:c r="L132" s="37" t="str">
        <x:v>mixed_or_external_missing</x:v>
      </x:c>
      <x:c r="M132" s="37" t="str">
        <x:v>alternative_profiles_present</x:v>
      </x:c>
      <x:c r="N132" s="37" t="str">
        <x:v>36</x:v>
      </x:c>
      <x:c r="O132" s="37" t="str"/>
      <x:c r="P132" s="37" t="str">
        <x:v>53</x:v>
      </x:c>
      <x:c r="Q132" s="37" t="str">
        <x:v>medium</x:v>
      </x:c>
      <x:c r="R132" s="37" t="str">
        <x:v>review_required</x:v>
      </x:c>
      <x:c r="S132" s="37" t="str">
        <x:v>False</x:v>
      </x:c>
      <x:c r="T132" s="38" t="str">
        <x:v>Do not promote without scope review, exception review, and author-intent/baseline corroboration.</x:v>
      </x:c>
      <x:c r="U132" s="37" t="str">
        <x:v>80</x:v>
      </x:c>
      <x:c r="V132" s="37" t="str">
        <x:v>high</x:v>
      </x:c>
      <x:c r="W132" s="37" t="str">
        <x:v>43</x:v>
      </x:c>
      <x:c r="X132" s="37" t="str">
        <x:v>low</x:v>
      </x:c>
      <x:c r="Y132" s="37" t="str">
        <x:v>53</x:v>
      </x:c>
      <x:c r="Z132" s="37" t="str">
        <x:v>medium</x:v>
      </x:c>
      <x:c r="AA132" s="38" t="str">
        <x:v>alternative_profiles_present;baseline_incomplete</x:v>
      </x:c>
      <x:c r="AB132" s="37" t="str">
        <x:v>review_required</x:v>
      </x:c>
    </x:row>
    <x:row r="133">
      <x:c r="A133" s="37" t="str">
        <x:v>RC-0132</x:v>
      </x:c>
      <x:c r="B133" s="37" t="str">
        <x:v>spell_numeric</x:v>
      </x:c>
      <x:c r="C133" s="37" t="str">
        <x:v>observed_pattern</x:v>
      </x:c>
      <x:c r="D133" s="37" t="str">
        <x:v>repeated_implementation_profile</x:v>
      </x:c>
      <x:c r="E133" s="37" t="str">
        <x:v>Adamant</x:v>
      </x:c>
      <x:c r="F133" s="37" t="str">
        <x:v>Adamant.esp</x:v>
      </x:c>
      <x:c r="G133" s="37" t="str">
        <x:v>main</x:v>
      </x:c>
      <x:c r="H133" s="38" t="str">
        <x:v>Within Adamant.esp, the spell_numeric implementation repeatedly uses: None | skill 0 | Constant Effect | Self | Value Modifier; observed center: 0.0</x:v>
      </x:c>
      <x:c r="I133" s="37" t="str">
        <x:v>22</x:v>
      </x:c>
      <x:c r="J133" s="37" t="str">
        <x:v>observed_patterns:spell_numeric:None | skill 0 | Constant Effect | Self | Value Modifier</x:v>
      </x:c>
      <x:c r="K133" s="37" t="str">
        <x:v>descriptive_frequency</x:v>
      </x:c>
      <x:c r="L133" s="37" t="str">
        <x:v>mixed_or_external_missing</x:v>
      </x:c>
      <x:c r="M133" s="37" t="str">
        <x:v>alternative_profiles_present</x:v>
      </x:c>
      <x:c r="N133" s="37" t="str">
        <x:v>36</x:v>
      </x:c>
      <x:c r="O133" s="37" t="str"/>
      <x:c r="P133" s="37" t="str">
        <x:v>53</x:v>
      </x:c>
      <x:c r="Q133" s="37" t="str">
        <x:v>medium</x:v>
      </x:c>
      <x:c r="R133" s="37" t="str">
        <x:v>review_required</x:v>
      </x:c>
      <x:c r="S133" s="37" t="str">
        <x:v>False</x:v>
      </x:c>
      <x:c r="T133" s="38" t="str">
        <x:v>Do not promote without scope review, exception review, and author-intent/baseline corroboration.</x:v>
      </x:c>
      <x:c r="U133" s="37" t="str">
        <x:v>80</x:v>
      </x:c>
      <x:c r="V133" s="37" t="str">
        <x:v>high</x:v>
      </x:c>
      <x:c r="W133" s="37" t="str">
        <x:v>43</x:v>
      </x:c>
      <x:c r="X133" s="37" t="str">
        <x:v>low</x:v>
      </x:c>
      <x:c r="Y133" s="37" t="str">
        <x:v>53</x:v>
      </x:c>
      <x:c r="Z133" s="37" t="str">
        <x:v>medium</x:v>
      </x:c>
      <x:c r="AA133" s="38" t="str">
        <x:v>alternative_profiles_present;baseline_incomplete</x:v>
      </x:c>
      <x:c r="AB133" s="37" t="str">
        <x:v>review_required</x:v>
      </x:c>
    </x:row>
    <x:row r="134">
      <x:c r="A134" s="37" t="str">
        <x:v>RC-0133</x:v>
      </x:c>
      <x:c r="B134" s="37" t="str">
        <x:v>spell_numeric</x:v>
      </x:c>
      <x:c r="C134" s="37" t="str">
        <x:v>observed_pattern</x:v>
      </x:c>
      <x:c r="D134" s="37" t="str">
        <x:v>repeated_implementation_profile</x:v>
      </x:c>
      <x:c r="E134" s="37" t="str">
        <x:v>Adamant</x:v>
      </x:c>
      <x:c r="F134" s="37" t="str">
        <x:v>Adamant.esp</x:v>
      </x:c>
      <x:c r="G134" s="37" t="str">
        <x:v>main</x:v>
      </x:c>
      <x:c r="H134" s="38" t="str">
        <x:v>Within Adamant.esp, the spell_numeric implementation repeatedly uses: None | skill 0 | Fire and Forget | Self | Peak Value Modifier; observed center: 0.0</x:v>
      </x:c>
      <x:c r="I134" s="37" t="str">
        <x:v>4</x:v>
      </x:c>
      <x:c r="J134" s="37" t="str">
        <x:v>observed_patterns:spell_numeric:None | skill 0 | Fire and Forget | Self | Peak Value Modifier</x:v>
      </x:c>
      <x:c r="K134" s="37" t="str">
        <x:v>descriptive_frequency</x:v>
      </x:c>
      <x:c r="L134" s="37" t="str">
        <x:v>mixed_or_external_missing</x:v>
      </x:c>
      <x:c r="M134" s="37" t="str">
        <x:v>alternative_profiles_present</x:v>
      </x:c>
      <x:c r="N134" s="37" t="str">
        <x:v>36</x:v>
      </x:c>
      <x:c r="O134" s="37" t="str"/>
      <x:c r="P134" s="37" t="str">
        <x:v>36</x:v>
      </x:c>
      <x:c r="Q134" s="37" t="str">
        <x:v>low</x:v>
      </x:c>
      <x:c r="R134" s="37" t="str">
        <x:v>review_required</x:v>
      </x:c>
      <x:c r="S134" s="37" t="str">
        <x:v>False</x:v>
      </x:c>
      <x:c r="T134" s="38" t="str">
        <x:v>Do not promote without scope review, exception review, and author-intent/baseline corroboration.</x:v>
      </x:c>
      <x:c r="U134" s="37" t="str">
        <x:v>55</x:v>
      </x:c>
      <x:c r="V134" s="37" t="str">
        <x:v>medium</x:v>
      </x:c>
      <x:c r="W134" s="37" t="str">
        <x:v>43</x:v>
      </x:c>
      <x:c r="X134" s="37" t="str">
        <x:v>low</x:v>
      </x:c>
      <x:c r="Y134" s="37" t="str">
        <x:v>40</x:v>
      </x:c>
      <x:c r="Z134" s="37" t="str">
        <x:v>low</x:v>
      </x:c>
      <x:c r="AA134" s="38" t="str">
        <x:v>alternative_profiles_present;baseline_incomplete</x:v>
      </x:c>
      <x:c r="AB134" s="37" t="str">
        <x:v>review_required</x:v>
      </x:c>
    </x:row>
    <x:row r="135">
      <x:c r="A135" s="37" t="str">
        <x:v>RC-0134</x:v>
      </x:c>
      <x:c r="B135" s="37" t="str">
        <x:v>spell_numeric</x:v>
      </x:c>
      <x:c r="C135" s="37" t="str">
        <x:v>observed_pattern</x:v>
      </x:c>
      <x:c r="D135" s="37" t="str">
        <x:v>repeated_implementation_profile</x:v>
      </x:c>
      <x:c r="E135" s="37" t="str">
        <x:v>Adamant</x:v>
      </x:c>
      <x:c r="F135" s="37" t="str">
        <x:v>Adamant.esp</x:v>
      </x:c>
      <x:c r="G135" s="37" t="str">
        <x:v>main</x:v>
      </x:c>
      <x:c r="H135" s="38" t="str">
        <x:v>Within Adamant.esp, the spell_numeric implementation repeatedly uses: None | skill 0 | Fire and Forget | Self | Script; observed center: 0.0</x:v>
      </x:c>
      <x:c r="I135" s="37" t="str">
        <x:v>25</x:v>
      </x:c>
      <x:c r="J135" s="37" t="str">
        <x:v>observed_patterns:spell_numeric:None | skill 0 | Fire and Forget | Self | Script</x:v>
      </x:c>
      <x:c r="K135" s="37" t="str">
        <x:v>descriptive_frequency</x:v>
      </x:c>
      <x:c r="L135" s="37" t="str">
        <x:v>mixed_or_external_missing</x:v>
      </x:c>
      <x:c r="M135" s="37" t="str">
        <x:v>alternative_profiles_present</x:v>
      </x:c>
      <x:c r="N135" s="37" t="str">
        <x:v>36</x:v>
      </x:c>
      <x:c r="O135" s="37" t="str"/>
      <x:c r="P135" s="37" t="str">
        <x:v>53</x:v>
      </x:c>
      <x:c r="Q135" s="37" t="str">
        <x:v>medium</x:v>
      </x:c>
      <x:c r="R135" s="37" t="str">
        <x:v>review_required</x:v>
      </x:c>
      <x:c r="S135" s="37" t="str">
        <x:v>False</x:v>
      </x:c>
      <x:c r="T135" s="38" t="str">
        <x:v>Do not promote without scope review, exception review, and author-intent/baseline corroboration.</x:v>
      </x:c>
      <x:c r="U135" s="37" t="str">
        <x:v>80</x:v>
      </x:c>
      <x:c r="V135" s="37" t="str">
        <x:v>high</x:v>
      </x:c>
      <x:c r="W135" s="37" t="str">
        <x:v>43</x:v>
      </x:c>
      <x:c r="X135" s="37" t="str">
        <x:v>low</x:v>
      </x:c>
      <x:c r="Y135" s="37" t="str">
        <x:v>53</x:v>
      </x:c>
      <x:c r="Z135" s="37" t="str">
        <x:v>medium</x:v>
      </x:c>
      <x:c r="AA135" s="38" t="str">
        <x:v>alternative_profiles_present;baseline_incomplete</x:v>
      </x:c>
      <x:c r="AB135" s="37" t="str">
        <x:v>review_required</x:v>
      </x:c>
    </x:row>
    <x:row r="136">
      <x:c r="A136" s="37" t="str">
        <x:v>RC-0135</x:v>
      </x:c>
      <x:c r="B136" s="37" t="str">
        <x:v>spell_numeric</x:v>
      </x:c>
      <x:c r="C136" s="37" t="str">
        <x:v>observed_pattern</x:v>
      </x:c>
      <x:c r="D136" s="37" t="str">
        <x:v>repeated_implementation_profile</x:v>
      </x:c>
      <x:c r="E136" s="37" t="str">
        <x:v>Adamant</x:v>
      </x:c>
      <x:c r="F136" s="37" t="str">
        <x:v>Adamant.esp</x:v>
      </x:c>
      <x:c r="G136" s="37" t="str">
        <x:v>main</x:v>
      </x:c>
      <x:c r="H136" s="38" t="str">
        <x:v>Within Adamant.esp, the spell_numeric implementation repeatedly uses: None | skill 0 | Fire and Forget | Self | Stagger; observed center: 0.0</x:v>
      </x:c>
      <x:c r="I136" s="37" t="str">
        <x:v>5</x:v>
      </x:c>
      <x:c r="J136" s="37" t="str">
        <x:v>observed_patterns:spell_numeric:None | skill 0 | Fire and Forget | Self | Stagger</x:v>
      </x:c>
      <x:c r="K136" s="37" t="str">
        <x:v>descriptive_frequency</x:v>
      </x:c>
      <x:c r="L136" s="37" t="str">
        <x:v>mixed_or_external_missing</x:v>
      </x:c>
      <x:c r="M136" s="37" t="str">
        <x:v>alternative_profiles_present</x:v>
      </x:c>
      <x:c r="N136" s="37" t="str">
        <x:v>36</x:v>
      </x:c>
      <x:c r="O136" s="37" t="str"/>
      <x:c r="P136" s="37" t="str">
        <x:v>42</x:v>
      </x:c>
      <x:c r="Q136" s="37" t="str">
        <x:v>low</x:v>
      </x:c>
      <x:c r="R136" s="37" t="str">
        <x:v>review_required</x:v>
      </x:c>
      <x:c r="S136" s="37" t="str">
        <x:v>False</x:v>
      </x:c>
      <x:c r="T136" s="38" t="str">
        <x:v>Do not promote without scope review, exception review, and author-intent/baseline corroboration.</x:v>
      </x:c>
      <x:c r="U136" s="37" t="str">
        <x:v>62</x:v>
      </x:c>
      <x:c r="V136" s="37" t="str">
        <x:v>medium</x:v>
      </x:c>
      <x:c r="W136" s="37" t="str">
        <x:v>43</x:v>
      </x:c>
      <x:c r="X136" s="37" t="str">
        <x:v>low</x:v>
      </x:c>
      <x:c r="Y136" s="37" t="str">
        <x:v>43</x:v>
      </x:c>
      <x:c r="Z136" s="37" t="str">
        <x:v>low</x:v>
      </x:c>
      <x:c r="AA136" s="38" t="str">
        <x:v>alternative_profiles_present;baseline_incomplete</x:v>
      </x:c>
      <x:c r="AB136" s="37" t="str">
        <x:v>review_required</x:v>
      </x:c>
    </x:row>
    <x:row r="137">
      <x:c r="A137" s="37" t="str">
        <x:v>RC-0136</x:v>
      </x:c>
      <x:c r="B137" s="37" t="str">
        <x:v>spell_numeric</x:v>
      </x:c>
      <x:c r="C137" s="37" t="str">
        <x:v>observed_pattern</x:v>
      </x:c>
      <x:c r="D137" s="37" t="str">
        <x:v>repeated_implementation_profile</x:v>
      </x:c>
      <x:c r="E137" s="37" t="str">
        <x:v>Adamant</x:v>
      </x:c>
      <x:c r="F137" s="37" t="str">
        <x:v>Adamant.esp</x:v>
      </x:c>
      <x:c r="G137" s="37" t="str">
        <x:v>main</x:v>
      </x:c>
      <x:c r="H137" s="38" t="str">
        <x:v>Within Adamant.esp, the spell_numeric implementation repeatedly uses: None | skill 0 | Fire and Forget | Self | Value Modifier; observed center: 0.0</x:v>
      </x:c>
      <x:c r="I137" s="37" t="str">
        <x:v>3</x:v>
      </x:c>
      <x:c r="J137" s="37" t="str">
        <x:v>observed_patterns:spell_numeric:None | skill 0 | Fire and Forget | Self | Value Modifier</x:v>
      </x:c>
      <x:c r="K137" s="37" t="str">
        <x:v>descriptive_frequency</x:v>
      </x:c>
      <x:c r="L137" s="37" t="str">
        <x:v>mixed_or_external_missing</x:v>
      </x:c>
      <x:c r="M137" s="37" t="str">
        <x:v>alternative_profiles_present</x:v>
      </x:c>
      <x:c r="N137" s="37" t="str">
        <x:v>36</x:v>
      </x:c>
      <x:c r="O137" s="37" t="str"/>
      <x:c r="P137" s="37" t="str">
        <x:v>36</x:v>
      </x:c>
      <x:c r="Q137" s="37" t="str">
        <x:v>low</x:v>
      </x:c>
      <x:c r="R137" s="37" t="str">
        <x:v>review_required</x:v>
      </x:c>
      <x:c r="S137" s="37" t="str">
        <x:v>False</x:v>
      </x:c>
      <x:c r="T137" s="38" t="str">
        <x:v>Do not promote without scope review, exception review, and author-intent/baseline corroboration.</x:v>
      </x:c>
      <x:c r="U137" s="37" t="str">
        <x:v>55</x:v>
      </x:c>
      <x:c r="V137" s="37" t="str">
        <x:v>medium</x:v>
      </x:c>
      <x:c r="W137" s="37" t="str">
        <x:v>43</x:v>
      </x:c>
      <x:c r="X137" s="37" t="str">
        <x:v>low</x:v>
      </x:c>
      <x:c r="Y137" s="37" t="str">
        <x:v>40</x:v>
      </x:c>
      <x:c r="Z137" s="37" t="str">
        <x:v>low</x:v>
      </x:c>
      <x:c r="AA137" s="38" t="str">
        <x:v>alternative_profiles_present;baseline_incomplete</x:v>
      </x:c>
      <x:c r="AB137" s="37" t="str">
        <x:v>review_required</x:v>
      </x:c>
    </x:row>
    <x:row r="138">
      <x:c r="A138" s="37" t="str">
        <x:v>RC-0137</x:v>
      </x:c>
      <x:c r="B138" s="37" t="str">
        <x:v>spell_numeric</x:v>
      </x:c>
      <x:c r="C138" s="37" t="str">
        <x:v>observed_pattern</x:v>
      </x:c>
      <x:c r="D138" s="37" t="str">
        <x:v>repeated_implementation_profile</x:v>
      </x:c>
      <x:c r="E138" s="37" t="str">
        <x:v>Adamant</x:v>
      </x:c>
      <x:c r="F138" s="37" t="str">
        <x:v>Adamant.esp</x:v>
      </x:c>
      <x:c r="G138" s="37" t="str">
        <x:v>main</x:v>
      </x:c>
      <x:c r="H138" s="38" t="str">
        <x:v>Within Adamant.esp, the spell_numeric implementation repeatedly uses: None | skill 0 | Fire and Forget | Target Actor | Peak Value Modifier; observed center: 0.0</x:v>
      </x:c>
      <x:c r="I138" s="37" t="str">
        <x:v>3</x:v>
      </x:c>
      <x:c r="J138" s="37" t="str">
        <x:v>observed_patterns:spell_numeric:None | skill 0 | Fire and Forget | Target Actor | Peak Value Modifier</x:v>
      </x:c>
      <x:c r="K138" s="37" t="str">
        <x:v>descriptive_frequency</x:v>
      </x:c>
      <x:c r="L138" s="37" t="str">
        <x:v>mixed_or_external_missing</x:v>
      </x:c>
      <x:c r="M138" s="37" t="str">
        <x:v>alternative_profiles_present</x:v>
      </x:c>
      <x:c r="N138" s="37" t="str">
        <x:v>36</x:v>
      </x:c>
      <x:c r="O138" s="37" t="str"/>
      <x:c r="P138" s="37" t="str">
        <x:v>36</x:v>
      </x:c>
      <x:c r="Q138" s="37" t="str">
        <x:v>low</x:v>
      </x:c>
      <x:c r="R138" s="37" t="str">
        <x:v>review_required</x:v>
      </x:c>
      <x:c r="S138" s="37" t="str">
        <x:v>False</x:v>
      </x:c>
      <x:c r="T138" s="38" t="str">
        <x:v>Do not promote without scope review, exception review, and author-intent/baseline corroboration.</x:v>
      </x:c>
      <x:c r="U138" s="37" t="str">
        <x:v>55</x:v>
      </x:c>
      <x:c r="V138" s="37" t="str">
        <x:v>medium</x:v>
      </x:c>
      <x:c r="W138" s="37" t="str">
        <x:v>43</x:v>
      </x:c>
      <x:c r="X138" s="37" t="str">
        <x:v>low</x:v>
      </x:c>
      <x:c r="Y138" s="37" t="str">
        <x:v>40</x:v>
      </x:c>
      <x:c r="Z138" s="37" t="str">
        <x:v>low</x:v>
      </x:c>
      <x:c r="AA138" s="38" t="str">
        <x:v>alternative_profiles_present;baseline_incomplete</x:v>
      </x:c>
      <x:c r="AB138" s="37" t="str">
        <x:v>review_required</x:v>
      </x:c>
    </x:row>
    <x:row r="139">
      <x:c r="A139" s="37" t="str">
        <x:v>RC-0138</x:v>
      </x:c>
      <x:c r="B139" s="37" t="str">
        <x:v>spell_numeric</x:v>
      </x:c>
      <x:c r="C139" s="37" t="str">
        <x:v>observed_pattern</x:v>
      </x:c>
      <x:c r="D139" s="37" t="str">
        <x:v>repeated_implementation_profile</x:v>
      </x:c>
      <x:c r="E139" s="37" t="str">
        <x:v>Adamant</x:v>
      </x:c>
      <x:c r="F139" s="37" t="str">
        <x:v>Adamant.esp</x:v>
      </x:c>
      <x:c r="G139" s="37" t="str">
        <x:v>main</x:v>
      </x:c>
      <x:c r="H139" s="38" t="str">
        <x:v>Within Adamant.esp, the spell_numeric implementation repeatedly uses: None | skill 0 | Fire and Forget | Touch | Etherealize; observed center: 0.0</x:v>
      </x:c>
      <x:c r="I139" s="37" t="str">
        <x:v>3</x:v>
      </x:c>
      <x:c r="J139" s="37" t="str">
        <x:v>observed_patterns:spell_numeric:None | skill 0 | Fire and Forget | Touch | Etherealize</x:v>
      </x:c>
      <x:c r="K139" s="37" t="str">
        <x:v>descriptive_frequency</x:v>
      </x:c>
      <x:c r="L139" s="37" t="str">
        <x:v>mixed_or_external_missing</x:v>
      </x:c>
      <x:c r="M139" s="37" t="str">
        <x:v>alternative_profiles_present</x:v>
      </x:c>
      <x:c r="N139" s="37" t="str">
        <x:v>36</x:v>
      </x:c>
      <x:c r="O139" s="37" t="str"/>
      <x:c r="P139" s="37" t="str">
        <x:v>36</x:v>
      </x:c>
      <x:c r="Q139" s="37" t="str">
        <x:v>low</x:v>
      </x:c>
      <x:c r="R139" s="37" t="str">
        <x:v>review_required</x:v>
      </x:c>
      <x:c r="S139" s="37" t="str">
        <x:v>False</x:v>
      </x:c>
      <x:c r="T139" s="38" t="str">
        <x:v>Do not promote without scope review, exception review, and author-intent/baseline corroboration.</x:v>
      </x:c>
      <x:c r="U139" s="37" t="str">
        <x:v>55</x:v>
      </x:c>
      <x:c r="V139" s="37" t="str">
        <x:v>medium</x:v>
      </x:c>
      <x:c r="W139" s="37" t="str">
        <x:v>43</x:v>
      </x:c>
      <x:c r="X139" s="37" t="str">
        <x:v>low</x:v>
      </x:c>
      <x:c r="Y139" s="37" t="str">
        <x:v>40</x:v>
      </x:c>
      <x:c r="Z139" s="37" t="str">
        <x:v>low</x:v>
      </x:c>
      <x:c r="AA139" s="38" t="str">
        <x:v>alternative_profiles_present;baseline_incomplete</x:v>
      </x:c>
      <x:c r="AB139" s="37" t="str">
        <x:v>review_required</x:v>
      </x:c>
    </x:row>
    <x:row r="140">
      <x:c r="A140" s="37" t="str">
        <x:v>RC-0139</x:v>
      </x:c>
      <x:c r="B140" s="37" t="str">
        <x:v>spell_numeric</x:v>
      </x:c>
      <x:c r="C140" s="37" t="str">
        <x:v>observed_pattern</x:v>
      </x:c>
      <x:c r="D140" s="37" t="str">
        <x:v>repeated_implementation_profile</x:v>
      </x:c>
      <x:c r="E140" s="37" t="str">
        <x:v>Adamant</x:v>
      </x:c>
      <x:c r="F140" s="37" t="str">
        <x:v>Adamant.esp</x:v>
      </x:c>
      <x:c r="G140" s="37" t="str">
        <x:v>main</x:v>
      </x:c>
      <x:c r="H140" s="38" t="str">
        <x:v>Within Adamant.esp, the spell_numeric implementation repeatedly uses: None | skill 0 | Fire and Forget | Touch | Peak Value Modifier; observed center: 0.0</x:v>
      </x:c>
      <x:c r="I140" s="37" t="str">
        <x:v>14</x:v>
      </x:c>
      <x:c r="J140" s="37" t="str">
        <x:v>observed_patterns:spell_numeric:None | skill 0 | Fire and Forget | Touch | Peak Value Modifier</x:v>
      </x:c>
      <x:c r="K140" s="37" t="str">
        <x:v>descriptive_frequency</x:v>
      </x:c>
      <x:c r="L140" s="37" t="str">
        <x:v>mixed_or_external_missing</x:v>
      </x:c>
      <x:c r="M140" s="37" t="str">
        <x:v>alternative_profiles_present</x:v>
      </x:c>
      <x:c r="N140" s="37" t="str">
        <x:v>36</x:v>
      </x:c>
      <x:c r="O140" s="37" t="str"/>
      <x:c r="P140" s="37" t="str">
        <x:v>48</x:v>
      </x:c>
      <x:c r="Q140" s="37" t="str">
        <x:v>low</x:v>
      </x:c>
      <x:c r="R140" s="37" t="str">
        <x:v>review_required</x:v>
      </x:c>
      <x:c r="S140" s="37" t="str">
        <x:v>False</x:v>
      </x:c>
      <x:c r="T140" s="38" t="str">
        <x:v>Do not promote without scope review, exception review, and author-intent/baseline corroboration.</x:v>
      </x:c>
      <x:c r="U140" s="37" t="str">
        <x:v>70</x:v>
      </x:c>
      <x:c r="V140" s="37" t="str">
        <x:v>medium</x:v>
      </x:c>
      <x:c r="W140" s="37" t="str">
        <x:v>43</x:v>
      </x:c>
      <x:c r="X140" s="37" t="str">
        <x:v>low</x:v>
      </x:c>
      <x:c r="Y140" s="37" t="str">
        <x:v>48</x:v>
      </x:c>
      <x:c r="Z140" s="37" t="str">
        <x:v>low</x:v>
      </x:c>
      <x:c r="AA140" s="38" t="str">
        <x:v>alternative_profiles_present;baseline_incomplete</x:v>
      </x:c>
      <x:c r="AB140" s="37" t="str">
        <x:v>review_required</x:v>
      </x:c>
    </x:row>
    <x:row r="141">
      <x:c r="A141" s="37" t="str">
        <x:v>RC-0140</x:v>
      </x:c>
      <x:c r="B141" s="37" t="str">
        <x:v>spell_numeric</x:v>
      </x:c>
      <x:c r="C141" s="37" t="str">
        <x:v>observed_pattern</x:v>
      </x:c>
      <x:c r="D141" s="37" t="str">
        <x:v>repeated_implementation_profile</x:v>
      </x:c>
      <x:c r="E141" s="37" t="str">
        <x:v>Adamant</x:v>
      </x:c>
      <x:c r="F141" s="37" t="str">
        <x:v>Adamant.esp</x:v>
      </x:c>
      <x:c r="G141" s="37" t="str">
        <x:v>main</x:v>
      </x:c>
      <x:c r="H141" s="38" t="str">
        <x:v>Within Adamant.esp, the spell_numeric implementation repeatedly uses: None | skill 0 | Fire and Forget | Touch | Script; observed center: 0.0</x:v>
      </x:c>
      <x:c r="I141" s="37" t="str">
        <x:v>7</x:v>
      </x:c>
      <x:c r="J141" s="37" t="str">
        <x:v>observed_patterns:spell_numeric:None | skill 0 | Fire and Forget | Touch | Script</x:v>
      </x:c>
      <x:c r="K141" s="37" t="str">
        <x:v>descriptive_frequency</x:v>
      </x:c>
      <x:c r="L141" s="37" t="str">
        <x:v>mixed_or_external_missing</x:v>
      </x:c>
      <x:c r="M141" s="37" t="str">
        <x:v>alternative_profiles_present</x:v>
      </x:c>
      <x:c r="N141" s="37" t="str">
        <x:v>36</x:v>
      </x:c>
      <x:c r="O141" s="37" t="str"/>
      <x:c r="P141" s="37" t="str">
        <x:v>42</x:v>
      </x:c>
      <x:c r="Q141" s="37" t="str">
        <x:v>low</x:v>
      </x:c>
      <x:c r="R141" s="37" t="str">
        <x:v>review_required</x:v>
      </x:c>
      <x:c r="S141" s="37" t="str">
        <x:v>False</x:v>
      </x:c>
      <x:c r="T141" s="38" t="str">
        <x:v>Do not promote without scope review, exception review, and author-intent/baseline corroboration.</x:v>
      </x:c>
      <x:c r="U141" s="37" t="str">
        <x:v>62</x:v>
      </x:c>
      <x:c r="V141" s="37" t="str">
        <x:v>medium</x:v>
      </x:c>
      <x:c r="W141" s="37" t="str">
        <x:v>43</x:v>
      </x:c>
      <x:c r="X141" s="37" t="str">
        <x:v>low</x:v>
      </x:c>
      <x:c r="Y141" s="37" t="str">
        <x:v>43</x:v>
      </x:c>
      <x:c r="Z141" s="37" t="str">
        <x:v>low</x:v>
      </x:c>
      <x:c r="AA141" s="38" t="str">
        <x:v>alternative_profiles_present;baseline_incomplete</x:v>
      </x:c>
      <x:c r="AB141" s="37" t="str">
        <x:v>review_required</x:v>
      </x:c>
    </x:row>
    <x:row r="142">
      <x:c r="A142" s="37" t="str">
        <x:v>RC-0141</x:v>
      </x:c>
      <x:c r="B142" s="37" t="str">
        <x:v>spell_numeric</x:v>
      </x:c>
      <x:c r="C142" s="37" t="str">
        <x:v>observed_pattern</x:v>
      </x:c>
      <x:c r="D142" s="37" t="str">
        <x:v>repeated_implementation_profile</x:v>
      </x:c>
      <x:c r="E142" s="37" t="str">
        <x:v>Adamant</x:v>
      </x:c>
      <x:c r="F142" s="37" t="str">
        <x:v>Adamant.esp</x:v>
      </x:c>
      <x:c r="G142" s="37" t="str">
        <x:v>main</x:v>
      </x:c>
      <x:c r="H142" s="38" t="str">
        <x:v>Within Adamant.esp, the spell_numeric implementation repeatedly uses: None | skill 0 | Fire and Forget | Touch | Value Modifier; observed center: 0.0</x:v>
      </x:c>
      <x:c r="I142" s="37" t="str">
        <x:v>18</x:v>
      </x:c>
      <x:c r="J142" s="37" t="str">
        <x:v>observed_patterns:spell_numeric:None | skill 0 | Fire and Forget | Touch | Value Modifier</x:v>
      </x:c>
      <x:c r="K142" s="37" t="str">
        <x:v>descriptive_frequency</x:v>
      </x:c>
      <x:c r="L142" s="37" t="str">
        <x:v>mixed_or_external_missing</x:v>
      </x:c>
      <x:c r="M142" s="37" t="str">
        <x:v>alternative_profiles_present</x:v>
      </x:c>
      <x:c r="N142" s="37" t="str">
        <x:v>36</x:v>
      </x:c>
      <x:c r="O142" s="37" t="str"/>
      <x:c r="P142" s="37" t="str">
        <x:v>48</x:v>
      </x:c>
      <x:c r="Q142" s="37" t="str">
        <x:v>low</x:v>
      </x:c>
      <x:c r="R142" s="37" t="str">
        <x:v>review_required</x:v>
      </x:c>
      <x:c r="S142" s="37" t="str">
        <x:v>False</x:v>
      </x:c>
      <x:c r="T142" s="38" t="str">
        <x:v>Do not promote without scope review, exception review, and author-intent/baseline corroboration.</x:v>
      </x:c>
      <x:c r="U142" s="37" t="str">
        <x:v>70</x:v>
      </x:c>
      <x:c r="V142" s="37" t="str">
        <x:v>medium</x:v>
      </x:c>
      <x:c r="W142" s="37" t="str">
        <x:v>43</x:v>
      </x:c>
      <x:c r="X142" s="37" t="str">
        <x:v>low</x:v>
      </x:c>
      <x:c r="Y142" s="37" t="str">
        <x:v>48</x:v>
      </x:c>
      <x:c r="Z142" s="37" t="str">
        <x:v>low</x:v>
      </x:c>
      <x:c r="AA142" s="38" t="str">
        <x:v>alternative_profiles_present;baseline_incomplete</x:v>
      </x:c>
      <x:c r="AB142" s="37" t="str">
        <x:v>review_required</x:v>
      </x:c>
    </x:row>
    <x:row r="143">
      <x:c r="A143" s="37" t="str">
        <x:v>RC-0142</x:v>
      </x:c>
      <x:c r="B143" s="37" t="str">
        <x:v>spell_numeric</x:v>
      </x:c>
      <x:c r="C143" s="37" t="str">
        <x:v>observed_pattern</x:v>
      </x:c>
      <x:c r="D143" s="37" t="str">
        <x:v>repeated_implementation_profile</x:v>
      </x:c>
      <x:c r="E143" s="37" t="str">
        <x:v>Adamant</x:v>
      </x:c>
      <x:c r="F143" s="37" t="str">
        <x:v>Adamant.esp</x:v>
      </x:c>
      <x:c r="G143" s="37" t="str">
        <x:v>main</x:v>
      </x:c>
      <x:c r="H143" s="38" t="str">
        <x:v>Within Adamant.esp, the spell_numeric implementation repeatedly uses: Restoration | skill 0 | Concentration | Aimed | Value Modifier; observed center: 11.0</x:v>
      </x:c>
      <x:c r="I143" s="37" t="str">
        <x:v>4</x:v>
      </x:c>
      <x:c r="J143" s="37" t="str">
        <x:v>observed_patterns:spell_numeric:Restoration | skill 0 | Concentration | Aimed | Value Modifier</x:v>
      </x:c>
      <x:c r="K143" s="37" t="str">
        <x:v>descriptive_frequency</x:v>
      </x:c>
      <x:c r="L143" s="37" t="str">
        <x:v>mixed_or_external_missing</x:v>
      </x:c>
      <x:c r="M143" s="37" t="str">
        <x:v>alternative_profiles_present</x:v>
      </x:c>
      <x:c r="N143" s="37" t="str">
        <x:v>36</x:v>
      </x:c>
      <x:c r="O143" s="37" t="str"/>
      <x:c r="P143" s="37" t="str">
        <x:v>36</x:v>
      </x:c>
      <x:c r="Q143" s="37" t="str">
        <x:v>low</x:v>
      </x:c>
      <x:c r="R143" s="37" t="str">
        <x:v>review_required</x:v>
      </x:c>
      <x:c r="S143" s="37" t="str">
        <x:v>False</x:v>
      </x:c>
      <x:c r="T143" s="38" t="str">
        <x:v>Do not promote without scope review, exception review, and author-intent/baseline corroboration.</x:v>
      </x:c>
      <x:c r="U143" s="37" t="str">
        <x:v>55</x:v>
      </x:c>
      <x:c r="V143" s="37" t="str">
        <x:v>medium</x:v>
      </x:c>
      <x:c r="W143" s="37" t="str">
        <x:v>43</x:v>
      </x:c>
      <x:c r="X143" s="37" t="str">
        <x:v>low</x:v>
      </x:c>
      <x:c r="Y143" s="37" t="str">
        <x:v>40</x:v>
      </x:c>
      <x:c r="Z143" s="37" t="str">
        <x:v>low</x:v>
      </x:c>
      <x:c r="AA143" s="38" t="str">
        <x:v>alternative_profiles_present;baseline_incomplete</x:v>
      </x:c>
      <x:c r="AB143" s="37" t="str">
        <x:v>review_required</x:v>
      </x:c>
    </x:row>
    <x:row r="144">
      <x:c r="A144" s="37" t="str">
        <x:v>RC-0143</x:v>
      </x:c>
      <x:c r="B144" s="37" t="str">
        <x:v>spell_numeric</x:v>
      </x:c>
      <x:c r="C144" s="37" t="str">
        <x:v>observed_pattern</x:v>
      </x:c>
      <x:c r="D144" s="37" t="str">
        <x:v>repeated_implementation_profile</x:v>
      </x:c>
      <x:c r="E144" s="37" t="str">
        <x:v>Adamant</x:v>
      </x:c>
      <x:c r="F144" s="37" t="str">
        <x:v>Adamant.esp</x:v>
      </x:c>
      <x:c r="G144" s="37" t="str">
        <x:v>main</x:v>
      </x:c>
      <x:c r="H144" s="38" t="str">
        <x:v>Within Adamant.esp, the spell_numeric implementation repeatedly uses: Restoration | skill 0 | Concentration | Self | Value Modifier; observed center: 17.0</x:v>
      </x:c>
      <x:c r="I144" s="37" t="str">
        <x:v>3</x:v>
      </x:c>
      <x:c r="J144" s="37" t="str">
        <x:v>observed_patterns:spell_numeric:Restoration | skill 0 | Concentration | Self | Value Modifier</x:v>
      </x:c>
      <x:c r="K144" s="37" t="str">
        <x:v>descriptive_frequency</x:v>
      </x:c>
      <x:c r="L144" s="37" t="str">
        <x:v>mixed_or_external_missing</x:v>
      </x:c>
      <x:c r="M144" s="37" t="str">
        <x:v>alternative_profiles_present</x:v>
      </x:c>
      <x:c r="N144" s="37" t="str">
        <x:v>36</x:v>
      </x:c>
      <x:c r="O144" s="37" t="str"/>
      <x:c r="P144" s="37" t="str">
        <x:v>36</x:v>
      </x:c>
      <x:c r="Q144" s="37" t="str">
        <x:v>low</x:v>
      </x:c>
      <x:c r="R144" s="37" t="str">
        <x:v>review_required</x:v>
      </x:c>
      <x:c r="S144" s="37" t="str">
        <x:v>False</x:v>
      </x:c>
      <x:c r="T144" s="38" t="str">
        <x:v>Do not promote without scope review, exception review, and author-intent/baseline corroboration.</x:v>
      </x:c>
      <x:c r="U144" s="37" t="str">
        <x:v>55</x:v>
      </x:c>
      <x:c r="V144" s="37" t="str">
        <x:v>medium</x:v>
      </x:c>
      <x:c r="W144" s="37" t="str">
        <x:v>43</x:v>
      </x:c>
      <x:c r="X144" s="37" t="str">
        <x:v>low</x:v>
      </x:c>
      <x:c r="Y144" s="37" t="str">
        <x:v>40</x:v>
      </x:c>
      <x:c r="Z144" s="37" t="str">
        <x:v>low</x:v>
      </x:c>
      <x:c r="AA144" s="38" t="str">
        <x:v>alternative_profiles_present;baseline_incomplete</x:v>
      </x:c>
      <x:c r="AB144" s="37" t="str">
        <x:v>review_required</x:v>
      </x:c>
    </x:row>
    <x:row r="145">
      <x:c r="A145" s="37" t="str">
        <x:v>RC-0144</x:v>
      </x:c>
      <x:c r="B145" s="37" t="str">
        <x:v>spell_numeric</x:v>
      </x:c>
      <x:c r="C145" s="37" t="str">
        <x:v>observed_pattern</x:v>
      </x:c>
      <x:c r="D145" s="37" t="str">
        <x:v>repeated_implementation_profile</x:v>
      </x:c>
      <x:c r="E145" s="37" t="str">
        <x:v>Adamant</x:v>
      </x:c>
      <x:c r="F145" s="37" t="str">
        <x:v>Adamant.esp</x:v>
      </x:c>
      <x:c r="G145" s="37" t="str">
        <x:v>main</x:v>
      </x:c>
      <x:c r="H145" s="38" t="str">
        <x:v>Within Adamant.esp, the spell_numeric implementation repeatedly uses: Restoration | skill 0 | Fire and Forget | Touch | Value Modifier; observed center: 58.5</x:v>
      </x:c>
      <x:c r="I145" s="37" t="str">
        <x:v>4</x:v>
      </x:c>
      <x:c r="J145" s="37" t="str">
        <x:v>observed_patterns:spell_numeric:Restoration | skill 0 | Fire and Forget | Touch | Value Modifier</x:v>
      </x:c>
      <x:c r="K145" s="37" t="str">
        <x:v>descriptive_frequency</x:v>
      </x:c>
      <x:c r="L145" s="37" t="str">
        <x:v>mixed_or_external_missing</x:v>
      </x:c>
      <x:c r="M145" s="37" t="str">
        <x:v>alternative_profiles_present</x:v>
      </x:c>
      <x:c r="N145" s="37" t="str">
        <x:v>36</x:v>
      </x:c>
      <x:c r="O145" s="37" t="str"/>
      <x:c r="P145" s="37" t="str">
        <x:v>36</x:v>
      </x:c>
      <x:c r="Q145" s="37" t="str">
        <x:v>low</x:v>
      </x:c>
      <x:c r="R145" s="37" t="str">
        <x:v>review_required</x:v>
      </x:c>
      <x:c r="S145" s="37" t="str">
        <x:v>False</x:v>
      </x:c>
      <x:c r="T145" s="38" t="str">
        <x:v>Do not promote without scope review, exception review, and author-intent/baseline corroboration.</x:v>
      </x:c>
      <x:c r="U145" s="37" t="str">
        <x:v>55</x:v>
      </x:c>
      <x:c r="V145" s="37" t="str">
        <x:v>medium</x:v>
      </x:c>
      <x:c r="W145" s="37" t="str">
        <x:v>43</x:v>
      </x:c>
      <x:c r="X145" s="37" t="str">
        <x:v>low</x:v>
      </x:c>
      <x:c r="Y145" s="37" t="str">
        <x:v>40</x:v>
      </x:c>
      <x:c r="Z145" s="37" t="str">
        <x:v>low</x:v>
      </x:c>
      <x:c r="AA145" s="38" t="str">
        <x:v>alternative_profiles_present;baseline_incomplete</x:v>
      </x:c>
      <x:c r="AB145" s="37" t="str">
        <x:v>review_required</x:v>
      </x:c>
    </x:row>
    <x:row r="146">
      <x:c r="A146" s="37" t="str">
        <x:v>RC-0145</x:v>
      </x:c>
      <x:c r="B146" s="37" t="str">
        <x:v>spell_numeric</x:v>
      </x:c>
      <x:c r="C146" s="37" t="str">
        <x:v>observed_pattern</x:v>
      </x:c>
      <x:c r="D146" s="37" t="str">
        <x:v>repeated_implementation_profile</x:v>
      </x:c>
      <x:c r="E146" s="37" t="str">
        <x:v>Adamant</x:v>
      </x:c>
      <x:c r="F146" s="37" t="str">
        <x:v>Adamant.esp</x:v>
      </x:c>
      <x:c r="G146" s="37" t="str">
        <x:v>main</x:v>
      </x:c>
      <x:c r="H146" s="38" t="str">
        <x:v>Within Adamant.esp, the spell_numeric implementation repeatedly uses: Restoration | skill 100 | Fire and Forget | Aimed | Value Modifier; observed center: 439.0</x:v>
      </x:c>
      <x:c r="I146" s="37" t="str">
        <x:v>4</x:v>
      </x:c>
      <x:c r="J146" s="37" t="str">
        <x:v>observed_patterns:spell_numeric:Restoration | skill 100 | Fire and Forget | Aimed | Value Modifier</x:v>
      </x:c>
      <x:c r="K146" s="37" t="str">
        <x:v>descriptive_frequency</x:v>
      </x:c>
      <x:c r="L146" s="37" t="str">
        <x:v>mixed_or_external_missing</x:v>
      </x:c>
      <x:c r="M146" s="37" t="str">
        <x:v>alternative_profiles_present</x:v>
      </x:c>
      <x:c r="N146" s="37" t="str">
        <x:v>36</x:v>
      </x:c>
      <x:c r="O146" s="37" t="str"/>
      <x:c r="P146" s="37" t="str">
        <x:v>36</x:v>
      </x:c>
      <x:c r="Q146" s="37" t="str">
        <x:v>low</x:v>
      </x:c>
      <x:c r="R146" s="37" t="str">
        <x:v>review_required</x:v>
      </x:c>
      <x:c r="S146" s="37" t="str">
        <x:v>False</x:v>
      </x:c>
      <x:c r="T146" s="38" t="str">
        <x:v>Do not promote without scope review, exception review, and author-intent/baseline corroboration.</x:v>
      </x:c>
      <x:c r="U146" s="37" t="str">
        <x:v>55</x:v>
      </x:c>
      <x:c r="V146" s="37" t="str">
        <x:v>medium</x:v>
      </x:c>
      <x:c r="W146" s="37" t="str">
        <x:v>43</x:v>
      </x:c>
      <x:c r="X146" s="37" t="str">
        <x:v>low</x:v>
      </x:c>
      <x:c r="Y146" s="37" t="str">
        <x:v>40</x:v>
      </x:c>
      <x:c r="Z146" s="37" t="str">
        <x:v>low</x:v>
      </x:c>
      <x:c r="AA146" s="38" t="str">
        <x:v>alternative_profiles_present;baseline_incomplete</x:v>
      </x:c>
      <x:c r="AB146" s="37" t="str">
        <x:v>review_required</x:v>
      </x:c>
    </x:row>
    <x:row r="147">
      <x:c r="A147" s="37" t="str">
        <x:v>RC-0146</x:v>
      </x:c>
      <x:c r="B147" s="37" t="str">
        <x:v>spell_numeric</x:v>
      </x:c>
      <x:c r="C147" s="37" t="str">
        <x:v>observed_pattern</x:v>
      </x:c>
      <x:c r="D147" s="37" t="str">
        <x:v>repeated_implementation_profile</x:v>
      </x:c>
      <x:c r="E147" s="37" t="str">
        <x:v>Adamant</x:v>
      </x:c>
      <x:c r="F147" s="37" t="str">
        <x:v>Adamant.esp</x:v>
      </x:c>
      <x:c r="G147" s="37" t="str">
        <x:v>main</x:v>
      </x:c>
      <x:c r="H147" s="38" t="str">
        <x:v>Within Adamant.esp, the spell_numeric implementation repeatedly uses: Restoration | skill 25 | Fire and Forget | Aimed | Turn Undead; observed center: 138.0</x:v>
      </x:c>
      <x:c r="I147" s="37" t="str">
        <x:v>3</x:v>
      </x:c>
      <x:c r="J147" s="37" t="str">
        <x:v>observed_patterns:spell_numeric:Restoration | skill 25 | Fire and Forget | Aimed | Turn Undead</x:v>
      </x:c>
      <x:c r="K147" s="37" t="str">
        <x:v>descriptive_frequency</x:v>
      </x:c>
      <x:c r="L147" s="37" t="str">
        <x:v>mixed_or_external_missing</x:v>
      </x:c>
      <x:c r="M147" s="37" t="str">
        <x:v>alternative_profiles_present</x:v>
      </x:c>
      <x:c r="N147" s="37" t="str">
        <x:v>36</x:v>
      </x:c>
      <x:c r="O147" s="37" t="str"/>
      <x:c r="P147" s="37" t="str">
        <x:v>36</x:v>
      </x:c>
      <x:c r="Q147" s="37" t="str">
        <x:v>low</x:v>
      </x:c>
      <x:c r="R147" s="37" t="str">
        <x:v>review_required</x:v>
      </x:c>
      <x:c r="S147" s="37" t="str">
        <x:v>False</x:v>
      </x:c>
      <x:c r="T147" s="38" t="str">
        <x:v>Do not promote without scope review, exception review, and author-intent/baseline corroboration.</x:v>
      </x:c>
      <x:c r="U147" s="37" t="str">
        <x:v>55</x:v>
      </x:c>
      <x:c r="V147" s="37" t="str">
        <x:v>medium</x:v>
      </x:c>
      <x:c r="W147" s="37" t="str">
        <x:v>43</x:v>
      </x:c>
      <x:c r="X147" s="37" t="str">
        <x:v>low</x:v>
      </x:c>
      <x:c r="Y147" s="37" t="str">
        <x:v>40</x:v>
      </x:c>
      <x:c r="Z147" s="37" t="str">
        <x:v>low</x:v>
      </x:c>
      <x:c r="AA147" s="38" t="str">
        <x:v>alternative_profiles_present;baseline_incomplete</x:v>
      </x:c>
      <x:c r="AB147" s="37" t="str">
        <x:v>review_required</x:v>
      </x:c>
    </x:row>
    <x:row r="148">
      <x:c r="A148" s="37" t="str">
        <x:v>RC-0147</x:v>
      </x:c>
      <x:c r="B148" s="37" t="str">
        <x:v>spell_numeric</x:v>
      </x:c>
      <x:c r="C148" s="37" t="str">
        <x:v>observed_pattern</x:v>
      </x:c>
      <x:c r="D148" s="37" t="str">
        <x:v>repeated_implementation_profile</x:v>
      </x:c>
      <x:c r="E148" s="37" t="str">
        <x:v>Adamant</x:v>
      </x:c>
      <x:c r="F148" s="37" t="str">
        <x:v>Adamant.esp</x:v>
      </x:c>
      <x:c r="G148" s="37" t="str">
        <x:v>main</x:v>
      </x:c>
      <x:c r="H148" s="38" t="str">
        <x:v>Within Adamant.esp, the spell_numeric implementation repeatedly uses: Restoration | skill 50 | Fire and Forget | Aimed | Turn Undead; observed center: 263.0</x:v>
      </x:c>
      <x:c r="I148" s="37" t="str">
        <x:v>3</x:v>
      </x:c>
      <x:c r="J148" s="37" t="str">
        <x:v>observed_patterns:spell_numeric:Restoration | skill 50 | Fire and Forget | Aimed | Turn Undead</x:v>
      </x:c>
      <x:c r="K148" s="37" t="str">
        <x:v>descriptive_frequency</x:v>
      </x:c>
      <x:c r="L148" s="37" t="str">
        <x:v>mixed_or_external_missing</x:v>
      </x:c>
      <x:c r="M148" s="37" t="str">
        <x:v>alternative_profiles_present</x:v>
      </x:c>
      <x:c r="N148" s="37" t="str">
        <x:v>36</x:v>
      </x:c>
      <x:c r="O148" s="37" t="str"/>
      <x:c r="P148" s="37" t="str">
        <x:v>36</x:v>
      </x:c>
      <x:c r="Q148" s="37" t="str">
        <x:v>low</x:v>
      </x:c>
      <x:c r="R148" s="37" t="str">
        <x:v>review_required</x:v>
      </x:c>
      <x:c r="S148" s="37" t="str">
        <x:v>False</x:v>
      </x:c>
      <x:c r="T148" s="38" t="str">
        <x:v>Do not promote without scope review, exception review, and author-intent/baseline corroboration.</x:v>
      </x:c>
      <x:c r="U148" s="37" t="str">
        <x:v>55</x:v>
      </x:c>
      <x:c r="V148" s="37" t="str">
        <x:v>medium</x:v>
      </x:c>
      <x:c r="W148" s="37" t="str">
        <x:v>43</x:v>
      </x:c>
      <x:c r="X148" s="37" t="str">
        <x:v>low</x:v>
      </x:c>
      <x:c r="Y148" s="37" t="str">
        <x:v>40</x:v>
      </x:c>
      <x:c r="Z148" s="37" t="str">
        <x:v>low</x:v>
      </x:c>
      <x:c r="AA148" s="38" t="str">
        <x:v>alternative_profiles_present;baseline_incomplete</x:v>
      </x:c>
      <x:c r="AB148" s="37" t="str">
        <x:v>review_required</x:v>
      </x:c>
    </x:row>
    <x:row r="149">
      <x:c r="A149" s="37" t="str">
        <x:v>RC-0148</x:v>
      </x:c>
      <x:c r="B149" s="37" t="str">
        <x:v>spell_numeric</x:v>
      </x:c>
      <x:c r="C149" s="37" t="str">
        <x:v>observed_pattern</x:v>
      </x:c>
      <x:c r="D149" s="37" t="str">
        <x:v>repeated_implementation_profile</x:v>
      </x:c>
      <x:c r="E149" s="37" t="str">
        <x:v>Adamant</x:v>
      </x:c>
      <x:c r="F149" s="37" t="str">
        <x:v>Adamant.esp</x:v>
      </x:c>
      <x:c r="G149" s="37" t="str">
        <x:v>main</x:v>
      </x:c>
      <x:c r="H149" s="38" t="str">
        <x:v>Within Adamant.esp, the spell_numeric implementation repeatedly uses: Restoration | skill 50 | Fire and Forget | Aimed | Value Modifier; observed center: 132.5</x:v>
      </x:c>
      <x:c r="I149" s="37" t="str">
        <x:v>4</x:v>
      </x:c>
      <x:c r="J149" s="37" t="str">
        <x:v>observed_patterns:spell_numeric:Restoration | skill 50 | Fire and Forget | Aimed | Value Modifier</x:v>
      </x:c>
      <x:c r="K149" s="37" t="str">
        <x:v>descriptive_frequency</x:v>
      </x:c>
      <x:c r="L149" s="37" t="str">
        <x:v>mixed_or_external_missing</x:v>
      </x:c>
      <x:c r="M149" s="37" t="str">
        <x:v>alternative_profiles_present</x:v>
      </x:c>
      <x:c r="N149" s="37" t="str">
        <x:v>36</x:v>
      </x:c>
      <x:c r="O149" s="37" t="str"/>
      <x:c r="P149" s="37" t="str">
        <x:v>36</x:v>
      </x:c>
      <x:c r="Q149" s="37" t="str">
        <x:v>low</x:v>
      </x:c>
      <x:c r="R149" s="37" t="str">
        <x:v>review_required</x:v>
      </x:c>
      <x:c r="S149" s="37" t="str">
        <x:v>False</x:v>
      </x:c>
      <x:c r="T149" s="38" t="str">
        <x:v>Do not promote without scope review, exception review, and author-intent/baseline corroboration.</x:v>
      </x:c>
      <x:c r="U149" s="37" t="str">
        <x:v>55</x:v>
      </x:c>
      <x:c r="V149" s="37" t="str">
        <x:v>medium</x:v>
      </x:c>
      <x:c r="W149" s="37" t="str">
        <x:v>43</x:v>
      </x:c>
      <x:c r="X149" s="37" t="str">
        <x:v>low</x:v>
      </x:c>
      <x:c r="Y149" s="37" t="str">
        <x:v>40</x:v>
      </x:c>
      <x:c r="Z149" s="37" t="str">
        <x:v>low</x:v>
      </x:c>
      <x:c r="AA149" s="38" t="str">
        <x:v>alternative_profiles_present;baseline_incomplete</x:v>
      </x:c>
      <x:c r="AB149" s="37" t="str">
        <x:v>review_required</x:v>
      </x:c>
    </x:row>
    <x:row r="150">
      <x:c r="A150" s="37" t="str">
        <x:v>RC-0149</x:v>
      </x:c>
      <x:c r="B150" s="37" t="str">
        <x:v>spell_numeric</x:v>
      </x:c>
      <x:c r="C150" s="37" t="str">
        <x:v>observed_pattern</x:v>
      </x:c>
      <x:c r="D150" s="37" t="str">
        <x:v>repeated_implementation_profile</x:v>
      </x:c>
      <x:c r="E150" s="37" t="str">
        <x:v>Adamant</x:v>
      </x:c>
      <x:c r="F150" s="37" t="str">
        <x:v>Adamant.esp</x:v>
      </x:c>
      <x:c r="G150" s="37" t="str">
        <x:v>main</x:v>
      </x:c>
      <x:c r="H150" s="38" t="str">
        <x:v>Within Adamant.esp, the spell_numeric implementation repeatedly uses: Restoration | skill 75 | Fire and Forget | Aimed | Value Modifier; observed center: 267.0</x:v>
      </x:c>
      <x:c r="I150" s="37" t="str">
        <x:v>4</x:v>
      </x:c>
      <x:c r="J150" s="37" t="str">
        <x:v>observed_patterns:spell_numeric:Restoration | skill 75 | Fire and Forget | Aimed | Value Modifier</x:v>
      </x:c>
      <x:c r="K150" s="37" t="str">
        <x:v>descriptive_frequency</x:v>
      </x:c>
      <x:c r="L150" s="37" t="str">
        <x:v>mixed_or_external_missing</x:v>
      </x:c>
      <x:c r="M150" s="37" t="str">
        <x:v>alternative_profiles_present</x:v>
      </x:c>
      <x:c r="N150" s="37" t="str">
        <x:v>36</x:v>
      </x:c>
      <x:c r="O150" s="37" t="str"/>
      <x:c r="P150" s="37" t="str">
        <x:v>36</x:v>
      </x:c>
      <x:c r="Q150" s="37" t="str">
        <x:v>low</x:v>
      </x:c>
      <x:c r="R150" s="37" t="str">
        <x:v>review_required</x:v>
      </x:c>
      <x:c r="S150" s="37" t="str">
        <x:v>False</x:v>
      </x:c>
      <x:c r="T150" s="38" t="str">
        <x:v>Do not promote without scope review, exception review, and author-intent/baseline corroboration.</x:v>
      </x:c>
      <x:c r="U150" s="37" t="str">
        <x:v>55</x:v>
      </x:c>
      <x:c r="V150" s="37" t="str">
        <x:v>medium</x:v>
      </x:c>
      <x:c r="W150" s="37" t="str">
        <x:v>43</x:v>
      </x:c>
      <x:c r="X150" s="37" t="str">
        <x:v>low</x:v>
      </x:c>
      <x:c r="Y150" s="37" t="str">
        <x:v>40</x:v>
      </x:c>
      <x:c r="Z150" s="37" t="str">
        <x:v>low</x:v>
      </x:c>
      <x:c r="AA150" s="38" t="str">
        <x:v>alternative_profiles_present;baseline_incomplete</x:v>
      </x:c>
      <x:c r="AB150" s="37" t="str">
        <x:v>review_required</x:v>
      </x:c>
    </x:row>
    <x:row r="151">
      <x:c r="A151" s="37" t="str">
        <x:v>RC-0150</x:v>
      </x:c>
      <x:c r="B151" s="37" t="str">
        <x:v>spell_numeric</x:v>
      </x:c>
      <x:c r="C151" s="37" t="str">
        <x:v>observed_pattern</x:v>
      </x:c>
      <x:c r="D151" s="37" t="str">
        <x:v>repeated_implementation_profile</x:v>
      </x:c>
      <x:c r="E151" s="37" t="str">
        <x:v>Blade and Blunt</x:v>
      </x:c>
      <x:c r="F151" s="37" t="str">
        <x:v>BladeAndBlunt.esp</x:v>
      </x:c>
      <x:c r="G151" s="37" t="str">
        <x:v>main</x:v>
      </x:c>
      <x:c r="H151" s="38" t="str">
        <x:v>Within BladeAndBlunt.esp, the spell_numeric implementation repeatedly uses: None | skill 0 | Constant Effect | Self | Peak Value Modifier; observed center: 0.0</x:v>
      </x:c>
      <x:c r="I151" s="37" t="str">
        <x:v>17</x:v>
      </x:c>
      <x:c r="J151" s="37" t="str">
        <x:v>observed_patterns:spell_numeric:None | skill 0 | Constant Effect | Self | Peak Value Modifier</x:v>
      </x:c>
      <x:c r="K151" s="37" t="str">
        <x:v>descriptive_frequency</x:v>
      </x:c>
      <x:c r="L151" s="37" t="str">
        <x:v>mixed_or_external_missing</x:v>
      </x:c>
      <x:c r="M151" s="37" t="str">
        <x:v>alternative_profiles_present</x:v>
      </x:c>
      <x:c r="N151" s="37" t="str">
        <x:v>8</x:v>
      </x:c>
      <x:c r="O151" s="37" t="str"/>
      <x:c r="P151" s="37" t="str">
        <x:v>48</x:v>
      </x:c>
      <x:c r="Q151" s="37" t="str">
        <x:v>low</x:v>
      </x:c>
      <x:c r="R151" s="37" t="str">
        <x:v>review_required</x:v>
      </x:c>
      <x:c r="S151" s="37" t="str">
        <x:v>False</x:v>
      </x:c>
      <x:c r="T151" s="38" t="str">
        <x:v>Do not promote without scope review, exception review, and author-intent/baseline corroboration.</x:v>
      </x:c>
      <x:c r="U151" s="37" t="str">
        <x:v>70</x:v>
      </x:c>
      <x:c r="V151" s="37" t="str">
        <x:v>medium</x:v>
      </x:c>
      <x:c r="W151" s="37" t="str">
        <x:v>48</x:v>
      </x:c>
      <x:c r="X151" s="37" t="str">
        <x:v>low</x:v>
      </x:c>
      <x:c r="Y151" s="37" t="str">
        <x:v>50</x:v>
      </x:c>
      <x:c r="Z151" s="37" t="str">
        <x:v>medium</x:v>
      </x:c>
      <x:c r="AA151" s="38" t="str">
        <x:v>alternative_profiles_present;baseline_incomplete</x:v>
      </x:c>
      <x:c r="AB151" s="37" t="str">
        <x:v>review_required</x:v>
      </x:c>
    </x:row>
    <x:row r="152">
      <x:c r="A152" s="37" t="str">
        <x:v>RC-0151</x:v>
      </x:c>
      <x:c r="B152" s="37" t="str">
        <x:v>spell_numeric</x:v>
      </x:c>
      <x:c r="C152" s="37" t="str">
        <x:v>observed_pattern</x:v>
      </x:c>
      <x:c r="D152" s="37" t="str">
        <x:v>repeated_implementation_profile</x:v>
      </x:c>
      <x:c r="E152" s="37" t="str">
        <x:v>Blade and Blunt</x:v>
      </x:c>
      <x:c r="F152" s="37" t="str">
        <x:v>BladeAndBlunt.esp</x:v>
      </x:c>
      <x:c r="G152" s="37" t="str">
        <x:v>main</x:v>
      </x:c>
      <x:c r="H152" s="38" t="str">
        <x:v>Within BladeAndBlunt.esp, the spell_numeric implementation repeatedly uses: None | skill 0 | Constant Effect | Self | Script; observed center: 0.0</x:v>
      </x:c>
      <x:c r="I152" s="37" t="str">
        <x:v>19</x:v>
      </x:c>
      <x:c r="J152" s="37" t="str">
        <x:v>observed_patterns:spell_numeric:None | skill 0 | Constant Effect | Self | Script</x:v>
      </x:c>
      <x:c r="K152" s="37" t="str">
        <x:v>descriptive_frequency</x:v>
      </x:c>
      <x:c r="L152" s="37" t="str">
        <x:v>mixed_or_external_missing</x:v>
      </x:c>
      <x:c r="M152" s="37" t="str">
        <x:v>alternative_profiles_present</x:v>
      </x:c>
      <x:c r="N152" s="37" t="str">
        <x:v>8</x:v>
      </x:c>
      <x:c r="O152" s="37" t="str"/>
      <x:c r="P152" s="37" t="str">
        <x:v>48</x:v>
      </x:c>
      <x:c r="Q152" s="37" t="str">
        <x:v>low</x:v>
      </x:c>
      <x:c r="R152" s="37" t="str">
        <x:v>review_required</x:v>
      </x:c>
      <x:c r="S152" s="37" t="str">
        <x:v>False</x:v>
      </x:c>
      <x:c r="T152" s="38" t="str">
        <x:v>Do not promote without scope review, exception review, and author-intent/baseline corroboration.</x:v>
      </x:c>
      <x:c r="U152" s="37" t="str">
        <x:v>70</x:v>
      </x:c>
      <x:c r="V152" s="37" t="str">
        <x:v>medium</x:v>
      </x:c>
      <x:c r="W152" s="37" t="str">
        <x:v>48</x:v>
      </x:c>
      <x:c r="X152" s="37" t="str">
        <x:v>low</x:v>
      </x:c>
      <x:c r="Y152" s="37" t="str">
        <x:v>50</x:v>
      </x:c>
      <x:c r="Z152" s="37" t="str">
        <x:v>medium</x:v>
      </x:c>
      <x:c r="AA152" s="38" t="str">
        <x:v>alternative_profiles_present;baseline_incomplete</x:v>
      </x:c>
      <x:c r="AB152" s="37" t="str">
        <x:v>review_required</x:v>
      </x:c>
    </x:row>
    <x:row r="153">
      <x:c r="A153" s="37" t="str">
        <x:v>RC-0152</x:v>
      </x:c>
      <x:c r="B153" s="37" t="str">
        <x:v>spell_numeric</x:v>
      </x:c>
      <x:c r="C153" s="37" t="str">
        <x:v>observed_pattern</x:v>
      </x:c>
      <x:c r="D153" s="37" t="str">
        <x:v>repeated_implementation_profile</x:v>
      </x:c>
      <x:c r="E153" s="37" t="str">
        <x:v>Blade and Blunt</x:v>
      </x:c>
      <x:c r="F153" s="37" t="str">
        <x:v>BladeAndBlunt.esp</x:v>
      </x:c>
      <x:c r="G153" s="37" t="str">
        <x:v>main</x:v>
      </x:c>
      <x:c r="H153" s="38" t="str">
        <x:v>Within BladeAndBlunt.esp, the spell_numeric implementation repeatedly uses: None | skill 0 | Constant Effect | Self | Value Modifier; observed center: 0.0</x:v>
      </x:c>
      <x:c r="I153" s="37" t="str">
        <x:v>4</x:v>
      </x:c>
      <x:c r="J153" s="37" t="str">
        <x:v>observed_patterns:spell_numeric:None | skill 0 | Constant Effect | Self | Value Modifier</x:v>
      </x:c>
      <x:c r="K153" s="37" t="str">
        <x:v>descriptive_frequency</x:v>
      </x:c>
      <x:c r="L153" s="37" t="str">
        <x:v>mixed_or_external_missing</x:v>
      </x:c>
      <x:c r="M153" s="37" t="str">
        <x:v>alternative_profiles_present</x:v>
      </x:c>
      <x:c r="N153" s="37" t="str">
        <x:v>8</x:v>
      </x:c>
      <x:c r="O153" s="37" t="str"/>
      <x:c r="P153" s="37" t="str">
        <x:v>36</x:v>
      </x:c>
      <x:c r="Q153" s="37" t="str">
        <x:v>low</x:v>
      </x:c>
      <x:c r="R153" s="37" t="str">
        <x:v>review_required</x:v>
      </x:c>
      <x:c r="S153" s="37" t="str">
        <x:v>False</x:v>
      </x:c>
      <x:c r="T153" s="38" t="str">
        <x:v>Do not promote without scope review, exception review, and author-intent/baseline corroboration.</x:v>
      </x:c>
      <x:c r="U153" s="37" t="str">
        <x:v>55</x:v>
      </x:c>
      <x:c r="V153" s="37" t="str">
        <x:v>medium</x:v>
      </x:c>
      <x:c r="W153" s="37" t="str">
        <x:v>48</x:v>
      </x:c>
      <x:c r="X153" s="37" t="str">
        <x:v>low</x:v>
      </x:c>
      <x:c r="Y153" s="37" t="str">
        <x:v>42</x:v>
      </x:c>
      <x:c r="Z153" s="37" t="str">
        <x:v>low</x:v>
      </x:c>
      <x:c r="AA153" s="38" t="str">
        <x:v>alternative_profiles_present;baseline_incomplete</x:v>
      </x:c>
      <x:c r="AB153" s="37" t="str">
        <x:v>review_required</x:v>
      </x:c>
    </x:row>
    <x:row r="154">
      <x:c r="A154" s="37" t="str">
        <x:v>RC-0153</x:v>
      </x:c>
      <x:c r="B154" s="37" t="str">
        <x:v>spell_numeric</x:v>
      </x:c>
      <x:c r="C154" s="37" t="str">
        <x:v>observed_pattern</x:v>
      </x:c>
      <x:c r="D154" s="37" t="str">
        <x:v>repeated_implementation_profile</x:v>
      </x:c>
      <x:c r="E154" s="37" t="str">
        <x:v>Blade and Blunt</x:v>
      </x:c>
      <x:c r="F154" s="37" t="str">
        <x:v>BladeAndBlunt.esp</x:v>
      </x:c>
      <x:c r="G154" s="37" t="str">
        <x:v>main</x:v>
      </x:c>
      <x:c r="H154" s="38" t="str">
        <x:v>Within BladeAndBlunt.esp, the spell_numeric implementation repeatedly uses: None | skill 0 | Fire and Forget | Self | Peak Value Modifier; observed center: 0.0</x:v>
      </x:c>
      <x:c r="I154" s="37" t="str">
        <x:v>13</x:v>
      </x:c>
      <x:c r="J154" s="37" t="str">
        <x:v>observed_patterns:spell_numeric:None | skill 0 | Fire and Forget | Self | Peak Value Modifier</x:v>
      </x:c>
      <x:c r="K154" s="37" t="str">
        <x:v>descriptive_frequency</x:v>
      </x:c>
      <x:c r="L154" s="37" t="str">
        <x:v>mixed_or_external_missing</x:v>
      </x:c>
      <x:c r="M154" s="37" t="str">
        <x:v>alternative_profiles_present</x:v>
      </x:c>
      <x:c r="N154" s="37" t="str">
        <x:v>8</x:v>
      </x:c>
      <x:c r="O154" s="37" t="str"/>
      <x:c r="P154" s="37" t="str">
        <x:v>48</x:v>
      </x:c>
      <x:c r="Q154" s="37" t="str">
        <x:v>low</x:v>
      </x:c>
      <x:c r="R154" s="37" t="str">
        <x:v>review_required</x:v>
      </x:c>
      <x:c r="S154" s="37" t="str">
        <x:v>False</x:v>
      </x:c>
      <x:c r="T154" s="38" t="str">
        <x:v>Do not promote without scope review, exception review, and author-intent/baseline corroboration.</x:v>
      </x:c>
      <x:c r="U154" s="37" t="str">
        <x:v>70</x:v>
      </x:c>
      <x:c r="V154" s="37" t="str">
        <x:v>medium</x:v>
      </x:c>
      <x:c r="W154" s="37" t="str">
        <x:v>48</x:v>
      </x:c>
      <x:c r="X154" s="37" t="str">
        <x:v>low</x:v>
      </x:c>
      <x:c r="Y154" s="37" t="str">
        <x:v>50</x:v>
      </x:c>
      <x:c r="Z154" s="37" t="str">
        <x:v>medium</x:v>
      </x:c>
      <x:c r="AA154" s="38" t="str">
        <x:v>alternative_profiles_present;baseline_incomplete</x:v>
      </x:c>
      <x:c r="AB154" s="37" t="str">
        <x:v>review_required</x:v>
      </x:c>
    </x:row>
    <x:row r="155">
      <x:c r="A155" s="37" t="str">
        <x:v>RC-0154</x:v>
      </x:c>
      <x:c r="B155" s="37" t="str">
        <x:v>spell_numeric</x:v>
      </x:c>
      <x:c r="C155" s="37" t="str">
        <x:v>observed_pattern</x:v>
      </x:c>
      <x:c r="D155" s="37" t="str">
        <x:v>repeated_implementation_profile</x:v>
      </x:c>
      <x:c r="E155" s="37" t="str">
        <x:v>Blade and Blunt</x:v>
      </x:c>
      <x:c r="F155" s="37" t="str">
        <x:v>BladeAndBlunt.esp</x:v>
      </x:c>
      <x:c r="G155" s="37" t="str">
        <x:v>main</x:v>
      </x:c>
      <x:c r="H155" s="38" t="str">
        <x:v>Within BladeAndBlunt.esp, the spell_numeric implementation repeatedly uses: None | skill 0 | Fire and Forget | Self | Script; observed center: 0.0</x:v>
      </x:c>
      <x:c r="I155" s="37" t="str">
        <x:v>3</x:v>
      </x:c>
      <x:c r="J155" s="37" t="str">
        <x:v>observed_patterns:spell_numeric:None | skill 0 | Fire and Forget | Self | Script</x:v>
      </x:c>
      <x:c r="K155" s="37" t="str">
        <x:v>descriptive_frequency</x:v>
      </x:c>
      <x:c r="L155" s="37" t="str">
        <x:v>mixed_or_external_missing</x:v>
      </x:c>
      <x:c r="M155" s="37" t="str">
        <x:v>alternative_profiles_present</x:v>
      </x:c>
      <x:c r="N155" s="37" t="str">
        <x:v>8</x:v>
      </x:c>
      <x:c r="O155" s="37" t="str"/>
      <x:c r="P155" s="37" t="str">
        <x:v>36</x:v>
      </x:c>
      <x:c r="Q155" s="37" t="str">
        <x:v>low</x:v>
      </x:c>
      <x:c r="R155" s="37" t="str">
        <x:v>review_required</x:v>
      </x:c>
      <x:c r="S155" s="37" t="str">
        <x:v>False</x:v>
      </x:c>
      <x:c r="T155" s="38" t="str">
        <x:v>Do not promote without scope review, exception review, and author-intent/baseline corroboration.</x:v>
      </x:c>
      <x:c r="U155" s="37" t="str">
        <x:v>55</x:v>
      </x:c>
      <x:c r="V155" s="37" t="str">
        <x:v>medium</x:v>
      </x:c>
      <x:c r="W155" s="37" t="str">
        <x:v>48</x:v>
      </x:c>
      <x:c r="X155" s="37" t="str">
        <x:v>low</x:v>
      </x:c>
      <x:c r="Y155" s="37" t="str">
        <x:v>42</x:v>
      </x:c>
      <x:c r="Z155" s="37" t="str">
        <x:v>low</x:v>
      </x:c>
      <x:c r="AA155" s="38" t="str">
        <x:v>alternative_profiles_present;baseline_incomplete</x:v>
      </x:c>
      <x:c r="AB155" s="37" t="str">
        <x:v>review_required</x:v>
      </x:c>
    </x:row>
    <x:row r="156">
      <x:c r="A156" s="37" t="str">
        <x:v>RC-0155</x:v>
      </x:c>
      <x:c r="B156" s="37" t="str">
        <x:v>spell_numeric</x:v>
      </x:c>
      <x:c r="C156" s="37" t="str">
        <x:v>observed_pattern</x:v>
      </x:c>
      <x:c r="D156" s="37" t="str">
        <x:v>repeated_implementation_profile</x:v>
      </x:c>
      <x:c r="E156" s="37" t="str">
        <x:v>Blade and Blunt</x:v>
      </x:c>
      <x:c r="F156" s="37" t="str">
        <x:v>BladeAndBlunt.esp</x:v>
      </x:c>
      <x:c r="G156" s="37" t="str">
        <x:v>main</x:v>
      </x:c>
      <x:c r="H156" s="38" t="str">
        <x:v>Within BladeAndBlunt.esp, the spell_numeric implementation repeatedly uses: None | skill 0 | Fire and Forget | Self | Stagger; observed center: 0.0</x:v>
      </x:c>
      <x:c r="I156" s="37" t="str">
        <x:v>6</x:v>
      </x:c>
      <x:c r="J156" s="37" t="str">
        <x:v>observed_patterns:spell_numeric:None | skill 0 | Fire and Forget | Self | Stagger</x:v>
      </x:c>
      <x:c r="K156" s="37" t="str">
        <x:v>descriptive_frequency</x:v>
      </x:c>
      <x:c r="L156" s="37" t="str">
        <x:v>mixed_or_external_missing</x:v>
      </x:c>
      <x:c r="M156" s="37" t="str">
        <x:v>alternative_profiles_present</x:v>
      </x:c>
      <x:c r="N156" s="37" t="str">
        <x:v>8</x:v>
      </x:c>
      <x:c r="O156" s="37" t="str"/>
      <x:c r="P156" s="37" t="str">
        <x:v>42</x:v>
      </x:c>
      <x:c r="Q156" s="37" t="str">
        <x:v>low</x:v>
      </x:c>
      <x:c r="R156" s="37" t="str">
        <x:v>review_required</x:v>
      </x:c>
      <x:c r="S156" s="37" t="str">
        <x:v>False</x:v>
      </x:c>
      <x:c r="T156" s="38" t="str">
        <x:v>Do not promote without scope review, exception review, and author-intent/baseline corroboration.</x:v>
      </x:c>
      <x:c r="U156" s="37" t="str">
        <x:v>62</x:v>
      </x:c>
      <x:c r="V156" s="37" t="str">
        <x:v>medium</x:v>
      </x:c>
      <x:c r="W156" s="37" t="str">
        <x:v>48</x:v>
      </x:c>
      <x:c r="X156" s="37" t="str">
        <x:v>low</x:v>
      </x:c>
      <x:c r="Y156" s="37" t="str">
        <x:v>46</x:v>
      </x:c>
      <x:c r="Z156" s="37" t="str">
        <x:v>low</x:v>
      </x:c>
      <x:c r="AA156" s="38" t="str">
        <x:v>alternative_profiles_present;baseline_incomplete</x:v>
      </x:c>
      <x:c r="AB156" s="37" t="str">
        <x:v>review_required</x:v>
      </x:c>
    </x:row>
    <x:row r="157">
      <x:c r="A157" s="37" t="str">
        <x:v>RC-0156</x:v>
      </x:c>
      <x:c r="B157" s="37" t="str">
        <x:v>spell_numeric</x:v>
      </x:c>
      <x:c r="C157" s="37" t="str">
        <x:v>observed_pattern</x:v>
      </x:c>
      <x:c r="D157" s="37" t="str">
        <x:v>repeated_implementation_profile</x:v>
      </x:c>
      <x:c r="E157" s="37" t="str">
        <x:v>Blade and Blunt</x:v>
      </x:c>
      <x:c r="F157" s="37" t="str">
        <x:v>BladeAndBlunt.esp</x:v>
      </x:c>
      <x:c r="G157" s="37" t="str">
        <x:v>main</x:v>
      </x:c>
      <x:c r="H157" s="38" t="str">
        <x:v>Within BladeAndBlunt.esp, the spell_numeric implementation repeatedly uses: None | skill 0 | Fire and Forget | Self | Value Modifier; observed center: 0.0</x:v>
      </x:c>
      <x:c r="I157" s="37" t="str">
        <x:v>6</x:v>
      </x:c>
      <x:c r="J157" s="37" t="str">
        <x:v>observed_patterns:spell_numeric:None | skill 0 | Fire and Forget | Self | Value Modifier</x:v>
      </x:c>
      <x:c r="K157" s="37" t="str">
        <x:v>descriptive_frequency</x:v>
      </x:c>
      <x:c r="L157" s="37" t="str">
        <x:v>mixed_or_external_missing</x:v>
      </x:c>
      <x:c r="M157" s="37" t="str">
        <x:v>alternative_profiles_present</x:v>
      </x:c>
      <x:c r="N157" s="37" t="str">
        <x:v>8</x:v>
      </x:c>
      <x:c r="O157" s="37" t="str"/>
      <x:c r="P157" s="37" t="str">
        <x:v>42</x:v>
      </x:c>
      <x:c r="Q157" s="37" t="str">
        <x:v>low</x:v>
      </x:c>
      <x:c r="R157" s="37" t="str">
        <x:v>review_required</x:v>
      </x:c>
      <x:c r="S157" s="37" t="str">
        <x:v>False</x:v>
      </x:c>
      <x:c r="T157" s="38" t="str">
        <x:v>Do not promote without scope review, exception review, and author-intent/baseline corroboration.</x:v>
      </x:c>
      <x:c r="U157" s="37" t="str">
        <x:v>62</x:v>
      </x:c>
      <x:c r="V157" s="37" t="str">
        <x:v>medium</x:v>
      </x:c>
      <x:c r="W157" s="37" t="str">
        <x:v>48</x:v>
      </x:c>
      <x:c r="X157" s="37" t="str">
        <x:v>low</x:v>
      </x:c>
      <x:c r="Y157" s="37" t="str">
        <x:v>46</x:v>
      </x:c>
      <x:c r="Z157" s="37" t="str">
        <x:v>low</x:v>
      </x:c>
      <x:c r="AA157" s="38" t="str">
        <x:v>alternative_profiles_present;baseline_incomplete</x:v>
      </x:c>
      <x:c r="AB157" s="37" t="str">
        <x:v>review_required</x:v>
      </x:c>
    </x:row>
    <x:row r="158">
      <x:c r="A158" s="37" t="str">
        <x:v>RC-0157</x:v>
      </x:c>
      <x:c r="B158" s="37" t="str">
        <x:v>spell_numeric</x:v>
      </x:c>
      <x:c r="C158" s="37" t="str">
        <x:v>observed_pattern</x:v>
      </x:c>
      <x:c r="D158" s="37" t="str">
        <x:v>repeated_implementation_profile</x:v>
      </x:c>
      <x:c r="E158" s="37" t="str">
        <x:v>Blade and Blunt</x:v>
      </x:c>
      <x:c r="F158" s="37" t="str">
        <x:v>BladeAndBlunt.esp</x:v>
      </x:c>
      <x:c r="G158" s="37" t="str">
        <x:v>main</x:v>
      </x:c>
      <x:c r="H158" s="38" t="str">
        <x:v>Within BladeAndBlunt.esp, the spell_numeric implementation repeatedly uses: None | skill 0 | Fire and Forget | Touch | Peak Value Modifier; observed center: 0.0</x:v>
      </x:c>
      <x:c r="I158" s="37" t="str">
        <x:v>7</x:v>
      </x:c>
      <x:c r="J158" s="37" t="str">
        <x:v>observed_patterns:spell_numeric:None | skill 0 | Fire and Forget | Touch | Peak Value Modifier</x:v>
      </x:c>
      <x:c r="K158" s="37" t="str">
        <x:v>descriptive_frequency</x:v>
      </x:c>
      <x:c r="L158" s="37" t="str">
        <x:v>mixed_or_external_missing</x:v>
      </x:c>
      <x:c r="M158" s="37" t="str">
        <x:v>alternative_profiles_present</x:v>
      </x:c>
      <x:c r="N158" s="37" t="str">
        <x:v>8</x:v>
      </x:c>
      <x:c r="O158" s="37" t="str"/>
      <x:c r="P158" s="37" t="str">
        <x:v>42</x:v>
      </x:c>
      <x:c r="Q158" s="37" t="str">
        <x:v>low</x:v>
      </x:c>
      <x:c r="R158" s="37" t="str">
        <x:v>review_required</x:v>
      </x:c>
      <x:c r="S158" s="37" t="str">
        <x:v>False</x:v>
      </x:c>
      <x:c r="T158" s="38" t="str">
        <x:v>Do not promote without scope review, exception review, and author-intent/baseline corroboration.</x:v>
      </x:c>
      <x:c r="U158" s="37" t="str">
        <x:v>62</x:v>
      </x:c>
      <x:c r="V158" s="37" t="str">
        <x:v>medium</x:v>
      </x:c>
      <x:c r="W158" s="37" t="str">
        <x:v>48</x:v>
      </x:c>
      <x:c r="X158" s="37" t="str">
        <x:v>low</x:v>
      </x:c>
      <x:c r="Y158" s="37" t="str">
        <x:v>46</x:v>
      </x:c>
      <x:c r="Z158" s="37" t="str">
        <x:v>low</x:v>
      </x:c>
      <x:c r="AA158" s="38" t="str">
        <x:v>alternative_profiles_present;baseline_incomplete</x:v>
      </x:c>
      <x:c r="AB158" s="37" t="str">
        <x:v>review_required</x:v>
      </x:c>
    </x:row>
    <x:row r="159">
      <x:c r="A159" s="37" t="str">
        <x:v>RC-0158</x:v>
      </x:c>
      <x:c r="B159" s="37" t="str">
        <x:v>spell_numeric</x:v>
      </x:c>
      <x:c r="C159" s="37" t="str">
        <x:v>observed_pattern</x:v>
      </x:c>
      <x:c r="D159" s="37" t="str">
        <x:v>repeated_implementation_profile</x:v>
      </x:c>
      <x:c r="E159" s="37" t="str">
        <x:v>Blade and Blunt</x:v>
      </x:c>
      <x:c r="F159" s="37" t="str">
        <x:v>BladeAndBlunt.esp</x:v>
      </x:c>
      <x:c r="G159" s="37" t="str">
        <x:v>main</x:v>
      </x:c>
      <x:c r="H159" s="38" t="str">
        <x:v>Within BladeAndBlunt.esp, the spell_numeric implementation repeatedly uses: None | skill 0 | Fire and Forget | Touch | Stagger; observed center: 0.0</x:v>
      </x:c>
      <x:c r="I159" s="37" t="str">
        <x:v>16</x:v>
      </x:c>
      <x:c r="J159" s="37" t="str">
        <x:v>observed_patterns:spell_numeric:None | skill 0 | Fire and Forget | Touch | Stagger</x:v>
      </x:c>
      <x:c r="K159" s="37" t="str">
        <x:v>descriptive_frequency</x:v>
      </x:c>
      <x:c r="L159" s="37" t="str">
        <x:v>mixed_or_external_missing</x:v>
      </x:c>
      <x:c r="M159" s="37" t="str">
        <x:v>alternative_profiles_present</x:v>
      </x:c>
      <x:c r="N159" s="37" t="str">
        <x:v>8</x:v>
      </x:c>
      <x:c r="O159" s="37" t="str"/>
      <x:c r="P159" s="37" t="str">
        <x:v>48</x:v>
      </x:c>
      <x:c r="Q159" s="37" t="str">
        <x:v>low</x:v>
      </x:c>
      <x:c r="R159" s="37" t="str">
        <x:v>review_required</x:v>
      </x:c>
      <x:c r="S159" s="37" t="str">
        <x:v>False</x:v>
      </x:c>
      <x:c r="T159" s="38" t="str">
        <x:v>Do not promote without scope review, exception review, and author-intent/baseline corroboration.</x:v>
      </x:c>
      <x:c r="U159" s="37" t="str">
        <x:v>70</x:v>
      </x:c>
      <x:c r="V159" s="37" t="str">
        <x:v>medium</x:v>
      </x:c>
      <x:c r="W159" s="37" t="str">
        <x:v>48</x:v>
      </x:c>
      <x:c r="X159" s="37" t="str">
        <x:v>low</x:v>
      </x:c>
      <x:c r="Y159" s="37" t="str">
        <x:v>50</x:v>
      </x:c>
      <x:c r="Z159" s="37" t="str">
        <x:v>medium</x:v>
      </x:c>
      <x:c r="AA159" s="38" t="str">
        <x:v>alternative_profiles_present;baseline_incomplete</x:v>
      </x:c>
      <x:c r="AB159" s="37" t="str">
        <x:v>review_required</x:v>
      </x:c>
    </x:row>
    <x:row r="160">
      <x:c r="A160" s="37" t="str">
        <x:v>RC-0159</x:v>
      </x:c>
      <x:c r="B160" s="37" t="str">
        <x:v>spell_numeric</x:v>
      </x:c>
      <x:c r="C160" s="37" t="str">
        <x:v>observed_pattern</x:v>
      </x:c>
      <x:c r="D160" s="37" t="str">
        <x:v>repeated_implementation_profile</x:v>
      </x:c>
      <x:c r="E160" s="37" t="str">
        <x:v>Hand to Hand</x:v>
      </x:c>
      <x:c r="F160" s="37" t="str">
        <x:v>HandtoHand.esp</x:v>
      </x:c>
      <x:c r="G160" s="37" t="str">
        <x:v>standalone_main</x:v>
      </x:c>
      <x:c r="H160" s="38" t="str">
        <x:v>Within HandtoHand.esp, the spell_numeric implementation repeatedly uses: None | skill 0 | Fire and Forget | Touch | Value Modifier; observed center: 0.0</x:v>
      </x:c>
      <x:c r="I160" s="37" t="str">
        <x:v>4</x:v>
      </x:c>
      <x:c r="J160" s="37" t="str">
        <x:v>observed_patterns:spell_numeric:None | skill 0 | Fire and Forget | Touch | Value Modifier</x:v>
      </x:c>
      <x:c r="K160" s="37" t="str">
        <x:v>descriptive_frequency</x:v>
      </x:c>
      <x:c r="L160" s="37" t="str">
        <x:v>exact_imported_or_local</x:v>
      </x:c>
      <x:c r="M160" s="37" t="str">
        <x:v>no_alternative_profile_in_current_grouping</x:v>
      </x:c>
      <x:c r="N160" s="37" t="str">
        <x:v>0</x:v>
      </x:c>
      <x:c r="O160" s="37" t="str"/>
      <x:c r="P160" s="37" t="str">
        <x:v>36</x:v>
      </x:c>
      <x:c r="Q160" s="37" t="str">
        <x:v>low</x:v>
      </x:c>
      <x:c r="R160" s="37" t="str">
        <x:v>review_required</x:v>
      </x:c>
      <x:c r="S160" s="37" t="str">
        <x:v>False</x:v>
      </x:c>
      <x:c r="T160" s="38" t="str">
        <x:v>Do not promote without scope review, exception review, and author-intent/baseline corroboration.</x:v>
      </x:c>
      <x:c r="U160" s="37" t="str">
        <x:v>55</x:v>
      </x:c>
      <x:c r="V160" s="37" t="str">
        <x:v>medium</x:v>
      </x:c>
      <x:c r="W160" s="37" t="str">
        <x:v>58</x:v>
      </x:c>
      <x:c r="X160" s="37" t="str">
        <x:v>medium</x:v>
      </x:c>
      <x:c r="Y160" s="37" t="str">
        <x:v>56</x:v>
      </x:c>
      <x:c r="Z160" s="37" t="str">
        <x:v>medium</x:v>
      </x:c>
      <x:c r="AA160" s="38" t="str"/>
      <x:c r="AB160" s="37" t="str">
        <x:v>review_required</x:v>
      </x:c>
    </x:row>
    <x:row r="161">
      <x:c r="A161" s="37" t="str">
        <x:v>RC-0160</x:v>
      </x:c>
      <x:c r="B161" s="37" t="str">
        <x:v>spell_numeric</x:v>
      </x:c>
      <x:c r="C161" s="37" t="str">
        <x:v>observed_pattern</x:v>
      </x:c>
      <x:c r="D161" s="37" t="str">
        <x:v>repeated_implementation_profile</x:v>
      </x:c>
      <x:c r="E161" s="37" t="str">
        <x:v>Mysticism</x:v>
      </x:c>
      <x:c r="F161" s="37" t="str">
        <x:v>MysticismMagic.esp</x:v>
      </x:c>
      <x:c r="G161" s="37" t="str">
        <x:v>main</x:v>
      </x:c>
      <x:c r="H161" s="38" t="str">
        <x:v>Within MysticismMagic.esp, the spell_numeric implementation repeatedly uses:  | skill  | Concentration | Aimed | ; observed center: 80.0</x:v>
      </x:c>
      <x:c r="I161" s="37" t="str">
        <x:v>3</x:v>
      </x:c>
      <x:c r="J161" s="37" t="str">
        <x:v>observed_patterns:spell_numeric: | skill  | Concentration | Aimed | </x:v>
      </x:c>
      <x:c r="K161" s="37" t="str">
        <x:v>descriptive_frequency</x:v>
      </x:c>
      <x:c r="L161" s="37" t="str">
        <x:v>mixed_or_external_missing</x:v>
      </x:c>
      <x:c r="M161" s="37" t="str">
        <x:v>alternative_profiles_present</x:v>
      </x:c>
      <x:c r="N161" s="37" t="str">
        <x:v>56</x:v>
      </x:c>
      <x:c r="O161" s="37" t="str"/>
      <x:c r="P161" s="37" t="str">
        <x:v>36</x:v>
      </x:c>
      <x:c r="Q161" s="37" t="str">
        <x:v>low</x:v>
      </x:c>
      <x:c r="R161" s="37" t="str">
        <x:v>review_required</x:v>
      </x:c>
      <x:c r="S161" s="37" t="str">
        <x:v>False</x:v>
      </x:c>
      <x:c r="T161" s="38" t="str">
        <x:v>Do not promote without scope review, exception review, and author-intent/baseline corroboration.</x:v>
      </x:c>
      <x:c r="U161" s="37" t="str">
        <x:v>55</x:v>
      </x:c>
      <x:c r="V161" s="37" t="str">
        <x:v>medium</x:v>
      </x:c>
      <x:c r="W161" s="37" t="str">
        <x:v>43</x:v>
      </x:c>
      <x:c r="X161" s="37" t="str">
        <x:v>low</x:v>
      </x:c>
      <x:c r="Y161" s="37" t="str">
        <x:v>40</x:v>
      </x:c>
      <x:c r="Z161" s="37" t="str">
        <x:v>low</x:v>
      </x:c>
      <x:c r="AA161" s="38" t="str">
        <x:v>alternative_profiles_present;baseline_incomplete</x:v>
      </x:c>
      <x:c r="AB161" s="37" t="str">
        <x:v>review_required</x:v>
      </x:c>
    </x:row>
    <x:row r="162">
      <x:c r="A162" s="37" t="str">
        <x:v>RC-0161</x:v>
      </x:c>
      <x:c r="B162" s="37" t="str">
        <x:v>spell_numeric</x:v>
      </x:c>
      <x:c r="C162" s="37" t="str">
        <x:v>observed_pattern</x:v>
      </x:c>
      <x:c r="D162" s="37" t="str">
        <x:v>repeated_implementation_profile</x:v>
      </x:c>
      <x:c r="E162" s="37" t="str">
        <x:v>Mysticism</x:v>
      </x:c>
      <x:c r="F162" s="37" t="str">
        <x:v>MysticismMagic.esp</x:v>
      </x:c>
      <x:c r="G162" s="37" t="str">
        <x:v>main</x:v>
      </x:c>
      <x:c r="H162" s="38" t="str">
        <x:v>Within MysticismMagic.esp, the spell_numeric implementation repeatedly uses:  | skill  | Fire and Forget | Aimed | ; observed center: 60.0</x:v>
      </x:c>
      <x:c r="I162" s="37" t="str">
        <x:v>6</x:v>
      </x:c>
      <x:c r="J162" s="37" t="str">
        <x:v>observed_patterns:spell_numeric: | skill  | Fire and Forget | Aimed | </x:v>
      </x:c>
      <x:c r="K162" s="37" t="str">
        <x:v>descriptive_frequency</x:v>
      </x:c>
      <x:c r="L162" s="37" t="str">
        <x:v>mixed_or_external_missing</x:v>
      </x:c>
      <x:c r="M162" s="37" t="str">
        <x:v>alternative_profiles_present</x:v>
      </x:c>
      <x:c r="N162" s="37" t="str">
        <x:v>56</x:v>
      </x:c>
      <x:c r="O162" s="37" t="str"/>
      <x:c r="P162" s="37" t="str">
        <x:v>42</x:v>
      </x:c>
      <x:c r="Q162" s="37" t="str">
        <x:v>low</x:v>
      </x:c>
      <x:c r="R162" s="37" t="str">
        <x:v>review_required</x:v>
      </x:c>
      <x:c r="S162" s="37" t="str">
        <x:v>False</x:v>
      </x:c>
      <x:c r="T162" s="38" t="str">
        <x:v>Do not promote without scope review, exception review, and author-intent/baseline corroboration.</x:v>
      </x:c>
      <x:c r="U162" s="37" t="str">
        <x:v>62</x:v>
      </x:c>
      <x:c r="V162" s="37" t="str">
        <x:v>medium</x:v>
      </x:c>
      <x:c r="W162" s="37" t="str">
        <x:v>43</x:v>
      </x:c>
      <x:c r="X162" s="37" t="str">
        <x:v>low</x:v>
      </x:c>
      <x:c r="Y162" s="37" t="str">
        <x:v>43</x:v>
      </x:c>
      <x:c r="Z162" s="37" t="str">
        <x:v>low</x:v>
      </x:c>
      <x:c r="AA162" s="38" t="str">
        <x:v>alternative_profiles_present;baseline_incomplete</x:v>
      </x:c>
      <x:c r="AB162" s="37" t="str">
        <x:v>review_required</x:v>
      </x:c>
    </x:row>
    <x:row r="163">
      <x:c r="A163" s="37" t="str">
        <x:v>RC-0162</x:v>
      </x:c>
      <x:c r="B163" s="37" t="str">
        <x:v>spell_numeric</x:v>
      </x:c>
      <x:c r="C163" s="37" t="str">
        <x:v>observed_pattern</x:v>
      </x:c>
      <x:c r="D163" s="37" t="str">
        <x:v>repeated_implementation_profile</x:v>
      </x:c>
      <x:c r="E163" s="37" t="str">
        <x:v>Mysticism</x:v>
      </x:c>
      <x:c r="F163" s="37" t="str">
        <x:v>MysticismMagic.esp</x:v>
      </x:c>
      <x:c r="G163" s="37" t="str">
        <x:v>main</x:v>
      </x:c>
      <x:c r="H163" s="38" t="str">
        <x:v>Within MysticismMagic.esp, the spell_numeric implementation repeatedly uses:  | skill  | Fire and Forget | Target Actor | ; observed center: 194.0</x:v>
      </x:c>
      <x:c r="I163" s="37" t="str">
        <x:v>8</x:v>
      </x:c>
      <x:c r="J163" s="37" t="str">
        <x:v>observed_patterns:spell_numeric: | skill  | Fire and Forget | Target Actor | </x:v>
      </x:c>
      <x:c r="K163" s="37" t="str">
        <x:v>descriptive_frequency</x:v>
      </x:c>
      <x:c r="L163" s="37" t="str">
        <x:v>mixed_or_external_missing</x:v>
      </x:c>
      <x:c r="M163" s="37" t="str">
        <x:v>alternative_profiles_present</x:v>
      </x:c>
      <x:c r="N163" s="37" t="str">
        <x:v>56</x:v>
      </x:c>
      <x:c r="O163" s="37" t="str"/>
      <x:c r="P163" s="37" t="str">
        <x:v>42</x:v>
      </x:c>
      <x:c r="Q163" s="37" t="str">
        <x:v>low</x:v>
      </x:c>
      <x:c r="R163" s="37" t="str">
        <x:v>review_required</x:v>
      </x:c>
      <x:c r="S163" s="37" t="str">
        <x:v>False</x:v>
      </x:c>
      <x:c r="T163" s="38" t="str">
        <x:v>Do not promote without scope review, exception review, and author-intent/baseline corroboration.</x:v>
      </x:c>
      <x:c r="U163" s="37" t="str">
        <x:v>62</x:v>
      </x:c>
      <x:c r="V163" s="37" t="str">
        <x:v>medium</x:v>
      </x:c>
      <x:c r="W163" s="37" t="str">
        <x:v>43</x:v>
      </x:c>
      <x:c r="X163" s="37" t="str">
        <x:v>low</x:v>
      </x:c>
      <x:c r="Y163" s="37" t="str">
        <x:v>43</x:v>
      </x:c>
      <x:c r="Z163" s="37" t="str">
        <x:v>low</x:v>
      </x:c>
      <x:c r="AA163" s="38" t="str">
        <x:v>alternative_profiles_present;baseline_incomplete</x:v>
      </x:c>
      <x:c r="AB163" s="37" t="str">
        <x:v>review_required</x:v>
      </x:c>
    </x:row>
    <x:row r="164">
      <x:c r="A164" s="37" t="str">
        <x:v>RC-0163</x:v>
      </x:c>
      <x:c r="B164" s="37" t="str">
        <x:v>spell_numeric</x:v>
      </x:c>
      <x:c r="C164" s="37" t="str">
        <x:v>observed_pattern</x:v>
      </x:c>
      <x:c r="D164" s="37" t="str">
        <x:v>repeated_implementation_profile</x:v>
      </x:c>
      <x:c r="E164" s="37" t="str">
        <x:v>Mysticism</x:v>
      </x:c>
      <x:c r="F164" s="37" t="str">
        <x:v>MysticismMagic.esp</x:v>
      </x:c>
      <x:c r="G164" s="37" t="str">
        <x:v>main</x:v>
      </x:c>
      <x:c r="H164" s="38" t="str">
        <x:v>Within MysticismMagic.esp, the spell_numeric implementation repeatedly uses: Alteration | skill 0 | Fire and Forget | Aimed | Paralysis; observed center: 0.0</x:v>
      </x:c>
      <x:c r="I164" s="37" t="str">
        <x:v>3</x:v>
      </x:c>
      <x:c r="J164" s="37" t="str">
        <x:v>observed_patterns:spell_numeric:Alteration | skill 0 | Fire and Forget | Aimed | Paralysis</x:v>
      </x:c>
      <x:c r="K164" s="37" t="str">
        <x:v>descriptive_frequency</x:v>
      </x:c>
      <x:c r="L164" s="37" t="str">
        <x:v>mixed_or_external_missing</x:v>
      </x:c>
      <x:c r="M164" s="37" t="str">
        <x:v>alternative_profiles_present</x:v>
      </x:c>
      <x:c r="N164" s="37" t="str">
        <x:v>56</x:v>
      </x:c>
      <x:c r="O164" s="37" t="str"/>
      <x:c r="P164" s="37" t="str">
        <x:v>36</x:v>
      </x:c>
      <x:c r="Q164" s="37" t="str">
        <x:v>low</x:v>
      </x:c>
      <x:c r="R164" s="37" t="str">
        <x:v>review_required</x:v>
      </x:c>
      <x:c r="S164" s="37" t="str">
        <x:v>False</x:v>
      </x:c>
      <x:c r="T164" s="38" t="str">
        <x:v>Do not promote without scope review, exception review, and author-intent/baseline corroboration.</x:v>
      </x:c>
      <x:c r="U164" s="37" t="str">
        <x:v>55</x:v>
      </x:c>
      <x:c r="V164" s="37" t="str">
        <x:v>medium</x:v>
      </x:c>
      <x:c r="W164" s="37" t="str">
        <x:v>43</x:v>
      </x:c>
      <x:c r="X164" s="37" t="str">
        <x:v>low</x:v>
      </x:c>
      <x:c r="Y164" s="37" t="str">
        <x:v>40</x:v>
      </x:c>
      <x:c r="Z164" s="37" t="str">
        <x:v>low</x:v>
      </x:c>
      <x:c r="AA164" s="38" t="str">
        <x:v>alternative_profiles_present;baseline_incomplete</x:v>
      </x:c>
      <x:c r="AB164" s="37" t="str">
        <x:v>review_required</x:v>
      </x:c>
    </x:row>
    <x:row r="165">
      <x:c r="A165" s="37" t="str">
        <x:v>RC-0164</x:v>
      </x:c>
      <x:c r="B165" s="37" t="str">
        <x:v>spell_numeric</x:v>
      </x:c>
      <x:c r="C165" s="37" t="str">
        <x:v>observed_pattern</x:v>
      </x:c>
      <x:c r="D165" s="37" t="str">
        <x:v>repeated_implementation_profile</x:v>
      </x:c>
      <x:c r="E165" s="37" t="str">
        <x:v>Mysticism</x:v>
      </x:c>
      <x:c r="F165" s="37" t="str">
        <x:v>MysticismMagic.esp</x:v>
      </x:c>
      <x:c r="G165" s="37" t="str">
        <x:v>main</x:v>
      </x:c>
      <x:c r="H165" s="38" t="str">
        <x:v>Within MysticismMagic.esp, the spell_numeric implementation repeatedly uses: Alteration | skill 0 | Fire and Forget | Self | Peak Value Modifier; observed center: 90.0</x:v>
      </x:c>
      <x:c r="I165" s="37" t="str">
        <x:v>3</x:v>
      </x:c>
      <x:c r="J165" s="37" t="str">
        <x:v>observed_patterns:spell_numeric:Alteration | skill 0 | Fire and Forget | Self | Peak Value Modifier</x:v>
      </x:c>
      <x:c r="K165" s="37" t="str">
        <x:v>descriptive_frequency</x:v>
      </x:c>
      <x:c r="L165" s="37" t="str">
        <x:v>mixed_or_external_missing</x:v>
      </x:c>
      <x:c r="M165" s="37" t="str">
        <x:v>alternative_profiles_present</x:v>
      </x:c>
      <x:c r="N165" s="37" t="str">
        <x:v>56</x:v>
      </x:c>
      <x:c r="O165" s="37" t="str"/>
      <x:c r="P165" s="37" t="str">
        <x:v>36</x:v>
      </x:c>
      <x:c r="Q165" s="37" t="str">
        <x:v>low</x:v>
      </x:c>
      <x:c r="R165" s="37" t="str">
        <x:v>review_required</x:v>
      </x:c>
      <x:c r="S165" s="37" t="str">
        <x:v>False</x:v>
      </x:c>
      <x:c r="T165" s="38" t="str">
        <x:v>Do not promote without scope review, exception review, and author-intent/baseline corroboration.</x:v>
      </x:c>
      <x:c r="U165" s="37" t="str">
        <x:v>55</x:v>
      </x:c>
      <x:c r="V165" s="37" t="str">
        <x:v>medium</x:v>
      </x:c>
      <x:c r="W165" s="37" t="str">
        <x:v>43</x:v>
      </x:c>
      <x:c r="X165" s="37" t="str">
        <x:v>low</x:v>
      </x:c>
      <x:c r="Y165" s="37" t="str">
        <x:v>40</x:v>
      </x:c>
      <x:c r="Z165" s="37" t="str">
        <x:v>low</x:v>
      </x:c>
      <x:c r="AA165" s="38" t="str">
        <x:v>alternative_profiles_present;baseline_incomplete</x:v>
      </x:c>
      <x:c r="AB165" s="37" t="str">
        <x:v>review_required</x:v>
      </x:c>
    </x:row>
    <x:row r="166">
      <x:c r="A166" s="37" t="str">
        <x:v>RC-0165</x:v>
      </x:c>
      <x:c r="B166" s="37" t="str">
        <x:v>spell_numeric</x:v>
      </x:c>
      <x:c r="C166" s="37" t="str">
        <x:v>observed_pattern</x:v>
      </x:c>
      <x:c r="D166" s="37" t="str">
        <x:v>repeated_implementation_profile</x:v>
      </x:c>
      <x:c r="E166" s="37" t="str">
        <x:v>Mysticism</x:v>
      </x:c>
      <x:c r="F166" s="37" t="str">
        <x:v>MysticismMagic.esp</x:v>
      </x:c>
      <x:c r="G166" s="37" t="str">
        <x:v>main</x:v>
      </x:c>
      <x:c r="H166" s="38" t="str">
        <x:v>Within MysticismMagic.esp, the spell_numeric implementation repeatedly uses: Alteration | skill 100 | Fire and Forget | Aimed | Peak Value Modifier; observed center: 670.0</x:v>
      </x:c>
      <x:c r="I166" s="37" t="str">
        <x:v>4</x:v>
      </x:c>
      <x:c r="J166" s="37" t="str">
        <x:v>observed_patterns:spell_numeric:Alteration | skill 100 | Fire and Forget | Aimed | Peak Value Modifier</x:v>
      </x:c>
      <x:c r="K166" s="37" t="str">
        <x:v>descriptive_frequency</x:v>
      </x:c>
      <x:c r="L166" s="37" t="str">
        <x:v>mixed_or_external_missing</x:v>
      </x:c>
      <x:c r="M166" s="37" t="str">
        <x:v>alternative_profiles_present</x:v>
      </x:c>
      <x:c r="N166" s="37" t="str">
        <x:v>56</x:v>
      </x:c>
      <x:c r="O166" s="37" t="str"/>
      <x:c r="P166" s="37" t="str">
        <x:v>36</x:v>
      </x:c>
      <x:c r="Q166" s="37" t="str">
        <x:v>low</x:v>
      </x:c>
      <x:c r="R166" s="37" t="str">
        <x:v>review_required</x:v>
      </x:c>
      <x:c r="S166" s="37" t="str">
        <x:v>False</x:v>
      </x:c>
      <x:c r="T166" s="38" t="str">
        <x:v>Do not promote without scope review, exception review, and author-intent/baseline corroboration.</x:v>
      </x:c>
      <x:c r="U166" s="37" t="str">
        <x:v>55</x:v>
      </x:c>
      <x:c r="V166" s="37" t="str">
        <x:v>medium</x:v>
      </x:c>
      <x:c r="W166" s="37" t="str">
        <x:v>43</x:v>
      </x:c>
      <x:c r="X166" s="37" t="str">
        <x:v>low</x:v>
      </x:c>
      <x:c r="Y166" s="37" t="str">
        <x:v>40</x:v>
      </x:c>
      <x:c r="Z166" s="37" t="str">
        <x:v>low</x:v>
      </x:c>
      <x:c r="AA166" s="38" t="str">
        <x:v>alternative_profiles_present;baseline_incomplete</x:v>
      </x:c>
      <x:c r="AB166" s="37" t="str">
        <x:v>review_required</x:v>
      </x:c>
    </x:row>
    <x:row r="167">
      <x:c r="A167" s="37" t="str">
        <x:v>RC-0166</x:v>
      </x:c>
      <x:c r="B167" s="37" t="str">
        <x:v>spell_numeric</x:v>
      </x:c>
      <x:c r="C167" s="37" t="str">
        <x:v>observed_pattern</x:v>
      </x:c>
      <x:c r="D167" s="37" t="str">
        <x:v>repeated_implementation_profile</x:v>
      </x:c>
      <x:c r="E167" s="37" t="str">
        <x:v>Mysticism</x:v>
      </x:c>
      <x:c r="F167" s="37" t="str">
        <x:v>MysticismMagic.esp</x:v>
      </x:c>
      <x:c r="G167" s="37" t="str">
        <x:v>main</x:v>
      </x:c>
      <x:c r="H167" s="38" t="str">
        <x:v>Within MysticismMagic.esp, the spell_numeric implementation repeatedly uses: Alteration | skill 100 | Fire and Forget | Self | Peak Value Modifier; observed center: 634.0</x:v>
      </x:c>
      <x:c r="I167" s="37" t="str">
        <x:v>5</x:v>
      </x:c>
      <x:c r="J167" s="37" t="str">
        <x:v>observed_patterns:spell_numeric:Alteration | skill 100 | Fire and Forget | Self | Peak Value Modifier</x:v>
      </x:c>
      <x:c r="K167" s="37" t="str">
        <x:v>descriptive_frequency</x:v>
      </x:c>
      <x:c r="L167" s="37" t="str">
        <x:v>mixed_or_external_missing</x:v>
      </x:c>
      <x:c r="M167" s="37" t="str">
        <x:v>alternative_profiles_present</x:v>
      </x:c>
      <x:c r="N167" s="37" t="str">
        <x:v>56</x:v>
      </x:c>
      <x:c r="O167" s="37" t="str"/>
      <x:c r="P167" s="37" t="str">
        <x:v>42</x:v>
      </x:c>
      <x:c r="Q167" s="37" t="str">
        <x:v>low</x:v>
      </x:c>
      <x:c r="R167" s="37" t="str">
        <x:v>review_required</x:v>
      </x:c>
      <x:c r="S167" s="37" t="str">
        <x:v>False</x:v>
      </x:c>
      <x:c r="T167" s="38" t="str">
        <x:v>Do not promote without scope review, exception review, and author-intent/baseline corroboration.</x:v>
      </x:c>
      <x:c r="U167" s="37" t="str">
        <x:v>62</x:v>
      </x:c>
      <x:c r="V167" s="37" t="str">
        <x:v>medium</x:v>
      </x:c>
      <x:c r="W167" s="37" t="str">
        <x:v>43</x:v>
      </x:c>
      <x:c r="X167" s="37" t="str">
        <x:v>low</x:v>
      </x:c>
      <x:c r="Y167" s="37" t="str">
        <x:v>43</x:v>
      </x:c>
      <x:c r="Z167" s="37" t="str">
        <x:v>low</x:v>
      </x:c>
      <x:c r="AA167" s="38" t="str">
        <x:v>alternative_profiles_present;baseline_incomplete</x:v>
      </x:c>
      <x:c r="AB167" s="37" t="str">
        <x:v>review_required</x:v>
      </x:c>
    </x:row>
    <x:row r="168">
      <x:c r="A168" s="37" t="str">
        <x:v>RC-0167</x:v>
      </x:c>
      <x:c r="B168" s="37" t="str">
        <x:v>spell_numeric</x:v>
      </x:c>
      <x:c r="C168" s="37" t="str">
        <x:v>observed_pattern</x:v>
      </x:c>
      <x:c r="D168" s="37" t="str">
        <x:v>repeated_implementation_profile</x:v>
      </x:c>
      <x:c r="E168" s="37" t="str">
        <x:v>Mysticism</x:v>
      </x:c>
      <x:c r="F168" s="37" t="str">
        <x:v>MysticismMagic.esp</x:v>
      </x:c>
      <x:c r="G168" s="37" t="str">
        <x:v>main</x:v>
      </x:c>
      <x:c r="H168" s="38" t="str">
        <x:v>Within MysticismMagic.esp, the spell_numeric implementation repeatedly uses: Alteration | skill 25 | Fire and Forget | Aimed | Peak Value Modifier; observed center: 124.0</x:v>
      </x:c>
      <x:c r="I168" s="37" t="str">
        <x:v>3</x:v>
      </x:c>
      <x:c r="J168" s="37" t="str">
        <x:v>observed_patterns:spell_numeric:Alteration | skill 25 | Fire and Forget | Aimed | Peak Value Modifier</x:v>
      </x:c>
      <x:c r="K168" s="37" t="str">
        <x:v>descriptive_frequency</x:v>
      </x:c>
      <x:c r="L168" s="37" t="str">
        <x:v>mixed_or_external_missing</x:v>
      </x:c>
      <x:c r="M168" s="37" t="str">
        <x:v>alternative_profiles_present</x:v>
      </x:c>
      <x:c r="N168" s="37" t="str">
        <x:v>56</x:v>
      </x:c>
      <x:c r="O168" s="37" t="str"/>
      <x:c r="P168" s="37" t="str">
        <x:v>36</x:v>
      </x:c>
      <x:c r="Q168" s="37" t="str">
        <x:v>low</x:v>
      </x:c>
      <x:c r="R168" s="37" t="str">
        <x:v>review_required</x:v>
      </x:c>
      <x:c r="S168" s="37" t="str">
        <x:v>False</x:v>
      </x:c>
      <x:c r="T168" s="38" t="str">
        <x:v>Do not promote without scope review, exception review, and author-intent/baseline corroboration.</x:v>
      </x:c>
      <x:c r="U168" s="37" t="str">
        <x:v>55</x:v>
      </x:c>
      <x:c r="V168" s="37" t="str">
        <x:v>medium</x:v>
      </x:c>
      <x:c r="W168" s="37" t="str">
        <x:v>43</x:v>
      </x:c>
      <x:c r="X168" s="37" t="str">
        <x:v>low</x:v>
      </x:c>
      <x:c r="Y168" s="37" t="str">
        <x:v>40</x:v>
      </x:c>
      <x:c r="Z168" s="37" t="str">
        <x:v>low</x:v>
      </x:c>
      <x:c r="AA168" s="38" t="str">
        <x:v>alternative_profiles_present;baseline_incomplete</x:v>
      </x:c>
      <x:c r="AB168" s="37" t="str">
        <x:v>review_required</x:v>
      </x:c>
    </x:row>
    <x:row r="169">
      <x:c r="A169" s="37" t="str">
        <x:v>RC-0168</x:v>
      </x:c>
      <x:c r="B169" s="37" t="str">
        <x:v>spell_numeric</x:v>
      </x:c>
      <x:c r="C169" s="37" t="str">
        <x:v>observed_pattern</x:v>
      </x:c>
      <x:c r="D169" s="37" t="str">
        <x:v>repeated_implementation_profile</x:v>
      </x:c>
      <x:c r="E169" s="37" t="str">
        <x:v>Mysticism</x:v>
      </x:c>
      <x:c r="F169" s="37" t="str">
        <x:v>MysticismMagic.esp</x:v>
      </x:c>
      <x:c r="G169" s="37" t="str">
        <x:v>main</x:v>
      </x:c>
      <x:c r="H169" s="38" t="str">
        <x:v>Within MysticismMagic.esp, the spell_numeric implementation repeatedly uses: Alteration | skill 25 | Fire and Forget | Self | Peak Value Modifier; observed center: 165.0</x:v>
      </x:c>
      <x:c r="I169" s="37" t="str">
        <x:v>5</x:v>
      </x:c>
      <x:c r="J169" s="37" t="str">
        <x:v>observed_patterns:spell_numeric:Alteration | skill 25 | Fire and Forget | Self | Peak Value Modifier</x:v>
      </x:c>
      <x:c r="K169" s="37" t="str">
        <x:v>descriptive_frequency</x:v>
      </x:c>
      <x:c r="L169" s="37" t="str">
        <x:v>mixed_or_external_missing</x:v>
      </x:c>
      <x:c r="M169" s="37" t="str">
        <x:v>alternative_profiles_present</x:v>
      </x:c>
      <x:c r="N169" s="37" t="str">
        <x:v>56</x:v>
      </x:c>
      <x:c r="O169" s="37" t="str"/>
      <x:c r="P169" s="37" t="str">
        <x:v>42</x:v>
      </x:c>
      <x:c r="Q169" s="37" t="str">
        <x:v>low</x:v>
      </x:c>
      <x:c r="R169" s="37" t="str">
        <x:v>review_required</x:v>
      </x:c>
      <x:c r="S169" s="37" t="str">
        <x:v>False</x:v>
      </x:c>
      <x:c r="T169" s="38" t="str">
        <x:v>Do not promote without scope review, exception review, and author-intent/baseline corroboration.</x:v>
      </x:c>
      <x:c r="U169" s="37" t="str">
        <x:v>62</x:v>
      </x:c>
      <x:c r="V169" s="37" t="str">
        <x:v>medium</x:v>
      </x:c>
      <x:c r="W169" s="37" t="str">
        <x:v>43</x:v>
      </x:c>
      <x:c r="X169" s="37" t="str">
        <x:v>low</x:v>
      </x:c>
      <x:c r="Y169" s="37" t="str">
        <x:v>43</x:v>
      </x:c>
      <x:c r="Z169" s="37" t="str">
        <x:v>low</x:v>
      </x:c>
      <x:c r="AA169" s="38" t="str">
        <x:v>alternative_profiles_present;baseline_incomplete</x:v>
      </x:c>
      <x:c r="AB169" s="37" t="str">
        <x:v>review_required</x:v>
      </x:c>
    </x:row>
    <x:row r="170">
      <x:c r="A170" s="37" t="str">
        <x:v>RC-0169</x:v>
      </x:c>
      <x:c r="B170" s="37" t="str">
        <x:v>spell_numeric</x:v>
      </x:c>
      <x:c r="C170" s="37" t="str">
        <x:v>observed_pattern</x:v>
      </x:c>
      <x:c r="D170" s="37" t="str">
        <x:v>repeated_implementation_profile</x:v>
      </x:c>
      <x:c r="E170" s="37" t="str">
        <x:v>Mysticism</x:v>
      </x:c>
      <x:c r="F170" s="37" t="str">
        <x:v>MysticismMagic.esp</x:v>
      </x:c>
      <x:c r="G170" s="37" t="str">
        <x:v>main</x:v>
      </x:c>
      <x:c r="H170" s="38" t="str">
        <x:v>Within MysticismMagic.esp, the spell_numeric implementation repeatedly uses: Alteration | skill 50 | Fire and Forget | Aimed | Peak Value Modifier; observed center: 227.0</x:v>
      </x:c>
      <x:c r="I170" s="37" t="str">
        <x:v>4</x:v>
      </x:c>
      <x:c r="J170" s="37" t="str">
        <x:v>observed_patterns:spell_numeric:Alteration | skill 50 | Fire and Forget | Aimed | Peak Value Modifier</x:v>
      </x:c>
      <x:c r="K170" s="37" t="str">
        <x:v>descriptive_frequency</x:v>
      </x:c>
      <x:c r="L170" s="37" t="str">
        <x:v>mixed_or_external_missing</x:v>
      </x:c>
      <x:c r="M170" s="37" t="str">
        <x:v>alternative_profiles_present</x:v>
      </x:c>
      <x:c r="N170" s="37" t="str">
        <x:v>56</x:v>
      </x:c>
      <x:c r="O170" s="37" t="str"/>
      <x:c r="P170" s="37" t="str">
        <x:v>36</x:v>
      </x:c>
      <x:c r="Q170" s="37" t="str">
        <x:v>low</x:v>
      </x:c>
      <x:c r="R170" s="37" t="str">
        <x:v>review_required</x:v>
      </x:c>
      <x:c r="S170" s="37" t="str">
        <x:v>False</x:v>
      </x:c>
      <x:c r="T170" s="38" t="str">
        <x:v>Do not promote without scope review, exception review, and author-intent/baseline corroboration.</x:v>
      </x:c>
      <x:c r="U170" s="37" t="str">
        <x:v>55</x:v>
      </x:c>
      <x:c r="V170" s="37" t="str">
        <x:v>medium</x:v>
      </x:c>
      <x:c r="W170" s="37" t="str">
        <x:v>43</x:v>
      </x:c>
      <x:c r="X170" s="37" t="str">
        <x:v>low</x:v>
      </x:c>
      <x:c r="Y170" s="37" t="str">
        <x:v>40</x:v>
      </x:c>
      <x:c r="Z170" s="37" t="str">
        <x:v>low</x:v>
      </x:c>
      <x:c r="AA170" s="38" t="str">
        <x:v>alternative_profiles_present;baseline_incomplete</x:v>
      </x:c>
      <x:c r="AB170" s="37" t="str">
        <x:v>review_required</x:v>
      </x:c>
    </x:row>
    <x:row r="171">
      <x:c r="A171" s="37" t="str">
        <x:v>RC-0170</x:v>
      </x:c>
      <x:c r="B171" s="37" t="str">
        <x:v>spell_numeric</x:v>
      </x:c>
      <x:c r="C171" s="37" t="str">
        <x:v>observed_pattern</x:v>
      </x:c>
      <x:c r="D171" s="37" t="str">
        <x:v>repeated_implementation_profile</x:v>
      </x:c>
      <x:c r="E171" s="37" t="str">
        <x:v>Mysticism</x:v>
      </x:c>
      <x:c r="F171" s="37" t="str">
        <x:v>MysticismMagic.esp</x:v>
      </x:c>
      <x:c r="G171" s="37" t="str">
        <x:v>main</x:v>
      </x:c>
      <x:c r="H171" s="38" t="str">
        <x:v>Within MysticismMagic.esp, the spell_numeric implementation repeatedly uses: Alteration | skill 50 | Fire and Forget | Self | Peak Value Modifier; observed center: 259.0</x:v>
      </x:c>
      <x:c r="I171" s="37" t="str">
        <x:v>8</x:v>
      </x:c>
      <x:c r="J171" s="37" t="str">
        <x:v>observed_patterns:spell_numeric:Alteration | skill 50 | Fire and Forget | Self | Peak Value Modifier</x:v>
      </x:c>
      <x:c r="K171" s="37" t="str">
        <x:v>descriptive_frequency</x:v>
      </x:c>
      <x:c r="L171" s="37" t="str">
        <x:v>mixed_or_external_missing</x:v>
      </x:c>
      <x:c r="M171" s="37" t="str">
        <x:v>alternative_profiles_present</x:v>
      </x:c>
      <x:c r="N171" s="37" t="str">
        <x:v>56</x:v>
      </x:c>
      <x:c r="O171" s="37" t="str"/>
      <x:c r="P171" s="37" t="str">
        <x:v>42</x:v>
      </x:c>
      <x:c r="Q171" s="37" t="str">
        <x:v>low</x:v>
      </x:c>
      <x:c r="R171" s="37" t="str">
        <x:v>review_required</x:v>
      </x:c>
      <x:c r="S171" s="37" t="str">
        <x:v>False</x:v>
      </x:c>
      <x:c r="T171" s="38" t="str">
        <x:v>Do not promote without scope review, exception review, and author-intent/baseline corroboration.</x:v>
      </x:c>
      <x:c r="U171" s="37" t="str">
        <x:v>62</x:v>
      </x:c>
      <x:c r="V171" s="37" t="str">
        <x:v>medium</x:v>
      </x:c>
      <x:c r="W171" s="37" t="str">
        <x:v>43</x:v>
      </x:c>
      <x:c r="X171" s="37" t="str">
        <x:v>low</x:v>
      </x:c>
      <x:c r="Y171" s="37" t="str">
        <x:v>43</x:v>
      </x:c>
      <x:c r="Z171" s="37" t="str">
        <x:v>low</x:v>
      </x:c>
      <x:c r="AA171" s="38" t="str">
        <x:v>alternative_profiles_present;baseline_incomplete</x:v>
      </x:c>
      <x:c r="AB171" s="37" t="str">
        <x:v>review_required</x:v>
      </x:c>
    </x:row>
    <x:row r="172">
      <x:c r="A172" s="37" t="str">
        <x:v>RC-0171</x:v>
      </x:c>
      <x:c r="B172" s="37" t="str">
        <x:v>spell_numeric</x:v>
      </x:c>
      <x:c r="C172" s="37" t="str">
        <x:v>observed_pattern</x:v>
      </x:c>
      <x:c r="D172" s="37" t="str">
        <x:v>repeated_implementation_profile</x:v>
      </x:c>
      <x:c r="E172" s="37" t="str">
        <x:v>Mysticism</x:v>
      </x:c>
      <x:c r="F172" s="37" t="str">
        <x:v>MysticismMagic.esp</x:v>
      </x:c>
      <x:c r="G172" s="37" t="str">
        <x:v>main</x:v>
      </x:c>
      <x:c r="H172" s="38" t="str">
        <x:v>Within MysticismMagic.esp, the spell_numeric implementation repeatedly uses: Alteration | skill 50 | Fire and Forget | Self | Script; observed center: 258.0</x:v>
      </x:c>
      <x:c r="I172" s="37" t="str">
        <x:v>3</x:v>
      </x:c>
      <x:c r="J172" s="37" t="str">
        <x:v>observed_patterns:spell_numeric:Alteration | skill 50 | Fire and Forget | Self | Script</x:v>
      </x:c>
      <x:c r="K172" s="37" t="str">
        <x:v>descriptive_frequency</x:v>
      </x:c>
      <x:c r="L172" s="37" t="str">
        <x:v>mixed_or_external_missing</x:v>
      </x:c>
      <x:c r="M172" s="37" t="str">
        <x:v>alternative_profiles_present</x:v>
      </x:c>
      <x:c r="N172" s="37" t="str">
        <x:v>56</x:v>
      </x:c>
      <x:c r="O172" s="37" t="str"/>
      <x:c r="P172" s="37" t="str">
        <x:v>36</x:v>
      </x:c>
      <x:c r="Q172" s="37" t="str">
        <x:v>low</x:v>
      </x:c>
      <x:c r="R172" s="37" t="str">
        <x:v>review_required</x:v>
      </x:c>
      <x:c r="S172" s="37" t="str">
        <x:v>False</x:v>
      </x:c>
      <x:c r="T172" s="38" t="str">
        <x:v>Do not promote without scope review, exception review, and author-intent/baseline corroboration.</x:v>
      </x:c>
      <x:c r="U172" s="37" t="str">
        <x:v>55</x:v>
      </x:c>
      <x:c r="V172" s="37" t="str">
        <x:v>medium</x:v>
      </x:c>
      <x:c r="W172" s="37" t="str">
        <x:v>43</x:v>
      </x:c>
      <x:c r="X172" s="37" t="str">
        <x:v>low</x:v>
      </x:c>
      <x:c r="Y172" s="37" t="str">
        <x:v>40</x:v>
      </x:c>
      <x:c r="Z172" s="37" t="str">
        <x:v>low</x:v>
      </x:c>
      <x:c r="AA172" s="38" t="str">
        <x:v>alternative_profiles_present;baseline_incomplete</x:v>
      </x:c>
      <x:c r="AB172" s="37" t="str">
        <x:v>review_required</x:v>
      </x:c>
    </x:row>
    <x:row r="173">
      <x:c r="A173" s="37" t="str">
        <x:v>RC-0172</x:v>
      </x:c>
      <x:c r="B173" s="37" t="str">
        <x:v>spell_numeric</x:v>
      </x:c>
      <x:c r="C173" s="37" t="str">
        <x:v>observed_pattern</x:v>
      </x:c>
      <x:c r="D173" s="37" t="str">
        <x:v>repeated_implementation_profile</x:v>
      </x:c>
      <x:c r="E173" s="37" t="str">
        <x:v>Mysticism</x:v>
      </x:c>
      <x:c r="F173" s="37" t="str">
        <x:v>MysticismMagic.esp</x:v>
      </x:c>
      <x:c r="G173" s="37" t="str">
        <x:v>main</x:v>
      </x:c>
      <x:c r="H173" s="38" t="str">
        <x:v>Within MysticismMagic.esp, the spell_numeric implementation repeatedly uses: Alteration | skill 75 | Fire and Forget | Self | Peak Value Modifier; observed center: 349.0</x:v>
      </x:c>
      <x:c r="I173" s="37" t="str">
        <x:v>5</x:v>
      </x:c>
      <x:c r="J173" s="37" t="str">
        <x:v>observed_patterns:spell_numeric:Alteration | skill 75 | Fire and Forget | Self | Peak Value Modifier</x:v>
      </x:c>
      <x:c r="K173" s="37" t="str">
        <x:v>descriptive_frequency</x:v>
      </x:c>
      <x:c r="L173" s="37" t="str">
        <x:v>mixed_or_external_missing</x:v>
      </x:c>
      <x:c r="M173" s="37" t="str">
        <x:v>alternative_profiles_present</x:v>
      </x:c>
      <x:c r="N173" s="37" t="str">
        <x:v>56</x:v>
      </x:c>
      <x:c r="O173" s="37" t="str"/>
      <x:c r="P173" s="37" t="str">
        <x:v>42</x:v>
      </x:c>
      <x:c r="Q173" s="37" t="str">
        <x:v>low</x:v>
      </x:c>
      <x:c r="R173" s="37" t="str">
        <x:v>review_required</x:v>
      </x:c>
      <x:c r="S173" s="37" t="str">
        <x:v>False</x:v>
      </x:c>
      <x:c r="T173" s="38" t="str">
        <x:v>Do not promote without scope review, exception review, and author-intent/baseline corroboration.</x:v>
      </x:c>
      <x:c r="U173" s="37" t="str">
        <x:v>62</x:v>
      </x:c>
      <x:c r="V173" s="37" t="str">
        <x:v>medium</x:v>
      </x:c>
      <x:c r="W173" s="37" t="str">
        <x:v>43</x:v>
      </x:c>
      <x:c r="X173" s="37" t="str">
        <x:v>low</x:v>
      </x:c>
      <x:c r="Y173" s="37" t="str">
        <x:v>43</x:v>
      </x:c>
      <x:c r="Z173" s="37" t="str">
        <x:v>low</x:v>
      </x:c>
      <x:c r="AA173" s="38" t="str">
        <x:v>alternative_profiles_present;baseline_incomplete</x:v>
      </x:c>
      <x:c r="AB173" s="37" t="str">
        <x:v>review_required</x:v>
      </x:c>
    </x:row>
    <x:row r="174">
      <x:c r="A174" s="37" t="str">
        <x:v>RC-0173</x:v>
      </x:c>
      <x:c r="B174" s="37" t="str">
        <x:v>spell_numeric</x:v>
      </x:c>
      <x:c r="C174" s="37" t="str">
        <x:v>observed_pattern</x:v>
      </x:c>
      <x:c r="D174" s="37" t="str">
        <x:v>repeated_implementation_profile</x:v>
      </x:c>
      <x:c r="E174" s="37" t="str">
        <x:v>Mysticism</x:v>
      </x:c>
      <x:c r="F174" s="37" t="str">
        <x:v>MysticismMagic.esp</x:v>
      </x:c>
      <x:c r="G174" s="37" t="str">
        <x:v>main</x:v>
      </x:c>
      <x:c r="H174" s="38" t="str">
        <x:v>Within MysticismMagic.esp, the spell_numeric implementation repeatedly uses: Conjuration | skill 0 | Fire and Forget | Self | Bound Weapon; observed center: 78.0</x:v>
      </x:c>
      <x:c r="I174" s="37" t="str">
        <x:v>3</x:v>
      </x:c>
      <x:c r="J174" s="37" t="str">
        <x:v>observed_patterns:spell_numeric:Conjuration | skill 0 | Fire and Forget | Self | Bound Weapon</x:v>
      </x:c>
      <x:c r="K174" s="37" t="str">
        <x:v>descriptive_frequency</x:v>
      </x:c>
      <x:c r="L174" s="37" t="str">
        <x:v>mixed_or_external_missing</x:v>
      </x:c>
      <x:c r="M174" s="37" t="str">
        <x:v>alternative_profiles_present</x:v>
      </x:c>
      <x:c r="N174" s="37" t="str">
        <x:v>56</x:v>
      </x:c>
      <x:c r="O174" s="37" t="str"/>
      <x:c r="P174" s="37" t="str">
        <x:v>36</x:v>
      </x:c>
      <x:c r="Q174" s="37" t="str">
        <x:v>low</x:v>
      </x:c>
      <x:c r="R174" s="37" t="str">
        <x:v>review_required</x:v>
      </x:c>
      <x:c r="S174" s="37" t="str">
        <x:v>False</x:v>
      </x:c>
      <x:c r="T174" s="38" t="str">
        <x:v>Do not promote without scope review, exception review, and author-intent/baseline corroboration.</x:v>
      </x:c>
      <x:c r="U174" s="37" t="str">
        <x:v>55</x:v>
      </x:c>
      <x:c r="V174" s="37" t="str">
        <x:v>medium</x:v>
      </x:c>
      <x:c r="W174" s="37" t="str">
        <x:v>43</x:v>
      </x:c>
      <x:c r="X174" s="37" t="str">
        <x:v>low</x:v>
      </x:c>
      <x:c r="Y174" s="37" t="str">
        <x:v>40</x:v>
      </x:c>
      <x:c r="Z174" s="37" t="str">
        <x:v>low</x:v>
      </x:c>
      <x:c r="AA174" s="38" t="str">
        <x:v>alternative_profiles_present;baseline_incomplete</x:v>
      </x:c>
      <x:c r="AB174" s="37" t="str">
        <x:v>review_required</x:v>
      </x:c>
    </x:row>
    <x:row r="175">
      <x:c r="A175" s="37" t="str">
        <x:v>RC-0174</x:v>
      </x:c>
      <x:c r="B175" s="37" t="str">
        <x:v>spell_numeric</x:v>
      </x:c>
      <x:c r="C175" s="37" t="str">
        <x:v>observed_pattern</x:v>
      </x:c>
      <x:c r="D175" s="37" t="str">
        <x:v>repeated_implementation_profile</x:v>
      </x:c>
      <x:c r="E175" s="37" t="str">
        <x:v>Mysticism</x:v>
      </x:c>
      <x:c r="F175" s="37" t="str">
        <x:v>MysticismMagic.esp</x:v>
      </x:c>
      <x:c r="G175" s="37" t="str">
        <x:v>main</x:v>
      </x:c>
      <x:c r="H175" s="38" t="str">
        <x:v>Within MysticismMagic.esp, the spell_numeric implementation repeatedly uses: Conjuration | skill 0 | Fire and Forget | Target Location | Summon Creature; observed center: 90.0</x:v>
      </x:c>
      <x:c r="I175" s="37" t="str">
        <x:v>3</x:v>
      </x:c>
      <x:c r="J175" s="37" t="str">
        <x:v>observed_patterns:spell_numeric:Conjuration | skill 0 | Fire and Forget | Target Location | Summon Creature</x:v>
      </x:c>
      <x:c r="K175" s="37" t="str">
        <x:v>descriptive_frequency</x:v>
      </x:c>
      <x:c r="L175" s="37" t="str">
        <x:v>mixed_or_external_missing</x:v>
      </x:c>
      <x:c r="M175" s="37" t="str">
        <x:v>alternative_profiles_present</x:v>
      </x:c>
      <x:c r="N175" s="37" t="str">
        <x:v>56</x:v>
      </x:c>
      <x:c r="O175" s="37" t="str"/>
      <x:c r="P175" s="37" t="str">
        <x:v>36</x:v>
      </x:c>
      <x:c r="Q175" s="37" t="str">
        <x:v>low</x:v>
      </x:c>
      <x:c r="R175" s="37" t="str">
        <x:v>review_required</x:v>
      </x:c>
      <x:c r="S175" s="37" t="str">
        <x:v>False</x:v>
      </x:c>
      <x:c r="T175" s="38" t="str">
        <x:v>Do not promote without scope review, exception review, and author-intent/baseline corroboration.</x:v>
      </x:c>
      <x:c r="U175" s="37" t="str">
        <x:v>55</x:v>
      </x:c>
      <x:c r="V175" s="37" t="str">
        <x:v>medium</x:v>
      </x:c>
      <x:c r="W175" s="37" t="str">
        <x:v>43</x:v>
      </x:c>
      <x:c r="X175" s="37" t="str">
        <x:v>low</x:v>
      </x:c>
      <x:c r="Y175" s="37" t="str">
        <x:v>40</x:v>
      </x:c>
      <x:c r="Z175" s="37" t="str">
        <x:v>low</x:v>
      </x:c>
      <x:c r="AA175" s="38" t="str">
        <x:v>alternative_profiles_present;baseline_incomplete</x:v>
      </x:c>
      <x:c r="AB175" s="37" t="str">
        <x:v>review_required</x:v>
      </x:c>
    </x:row>
    <x:row r="176">
      <x:c r="A176" s="37" t="str">
        <x:v>RC-0175</x:v>
      </x:c>
      <x:c r="B176" s="37" t="str">
        <x:v>spell_numeric</x:v>
      </x:c>
      <x:c r="C176" s="37" t="str">
        <x:v>observed_pattern</x:v>
      </x:c>
      <x:c r="D176" s="37" t="str">
        <x:v>repeated_implementation_profile</x:v>
      </x:c>
      <x:c r="E176" s="37" t="str">
        <x:v>Mysticism</x:v>
      </x:c>
      <x:c r="F176" s="37" t="str">
        <x:v>MysticismMagic.esp</x:v>
      </x:c>
      <x:c r="G176" s="37" t="str">
        <x:v>main</x:v>
      </x:c>
      <x:c r="H176" s="38" t="str">
        <x:v>Within MysticismMagic.esp, the spell_numeric implementation repeatedly uses: Conjuration | skill 100 | Fire and Forget | Target Location | Summon Creature; observed center: 649.0</x:v>
      </x:c>
      <x:c r="I176" s="37" t="str">
        <x:v>15</x:v>
      </x:c>
      <x:c r="J176" s="37" t="str">
        <x:v>observed_patterns:spell_numeric:Conjuration | skill 100 | Fire and Forget | Target Location | Summon Creature</x:v>
      </x:c>
      <x:c r="K176" s="37" t="str">
        <x:v>descriptive_frequency</x:v>
      </x:c>
      <x:c r="L176" s="37" t="str">
        <x:v>mixed_or_external_missing</x:v>
      </x:c>
      <x:c r="M176" s="37" t="str">
        <x:v>alternative_profiles_present</x:v>
      </x:c>
      <x:c r="N176" s="37" t="str">
        <x:v>56</x:v>
      </x:c>
      <x:c r="O176" s="37" t="str"/>
      <x:c r="P176" s="37" t="str">
        <x:v>48</x:v>
      </x:c>
      <x:c r="Q176" s="37" t="str">
        <x:v>low</x:v>
      </x:c>
      <x:c r="R176" s="37" t="str">
        <x:v>review_required</x:v>
      </x:c>
      <x:c r="S176" s="37" t="str">
        <x:v>False</x:v>
      </x:c>
      <x:c r="T176" s="38" t="str">
        <x:v>Do not promote without scope review, exception review, and author-intent/baseline corroboration.</x:v>
      </x:c>
      <x:c r="U176" s="37" t="str">
        <x:v>70</x:v>
      </x:c>
      <x:c r="V176" s="37" t="str">
        <x:v>medium</x:v>
      </x:c>
      <x:c r="W176" s="37" t="str">
        <x:v>43</x:v>
      </x:c>
      <x:c r="X176" s="37" t="str">
        <x:v>low</x:v>
      </x:c>
      <x:c r="Y176" s="37" t="str">
        <x:v>48</x:v>
      </x:c>
      <x:c r="Z176" s="37" t="str">
        <x:v>low</x:v>
      </x:c>
      <x:c r="AA176" s="38" t="str">
        <x:v>alternative_profiles_present;baseline_incomplete</x:v>
      </x:c>
      <x:c r="AB176" s="37" t="str">
        <x:v>review_required</x:v>
      </x:c>
    </x:row>
    <x:row r="177">
      <x:c r="A177" s="37" t="str">
        <x:v>RC-0176</x:v>
      </x:c>
      <x:c r="B177" s="37" t="str">
        <x:v>spell_numeric</x:v>
      </x:c>
      <x:c r="C177" s="37" t="str">
        <x:v>observed_pattern</x:v>
      </x:c>
      <x:c r="D177" s="37" t="str">
        <x:v>repeated_implementation_profile</x:v>
      </x:c>
      <x:c r="E177" s="37" t="str">
        <x:v>Mysticism</x:v>
      </x:c>
      <x:c r="F177" s="37" t="str">
        <x:v>MysticismMagic.esp</x:v>
      </x:c>
      <x:c r="G177" s="37" t="str">
        <x:v>main</x:v>
      </x:c>
      <x:c r="H177" s="38" t="str">
        <x:v>Within MysticismMagic.esp, the spell_numeric implementation repeatedly uses: Conjuration | skill 25 | Fire and Forget | Self | Bound Weapon; observed center: 152.0</x:v>
      </x:c>
      <x:c r="I177" s="37" t="str">
        <x:v>7</x:v>
      </x:c>
      <x:c r="J177" s="37" t="str">
        <x:v>observed_patterns:spell_numeric:Conjuration | skill 25 | Fire and Forget | Self | Bound Weapon</x:v>
      </x:c>
      <x:c r="K177" s="37" t="str">
        <x:v>descriptive_frequency</x:v>
      </x:c>
      <x:c r="L177" s="37" t="str">
        <x:v>mixed_or_external_missing</x:v>
      </x:c>
      <x:c r="M177" s="37" t="str">
        <x:v>alternative_profiles_present</x:v>
      </x:c>
      <x:c r="N177" s="37" t="str">
        <x:v>56</x:v>
      </x:c>
      <x:c r="O177" s="37" t="str"/>
      <x:c r="P177" s="37" t="str">
        <x:v>42</x:v>
      </x:c>
      <x:c r="Q177" s="37" t="str">
        <x:v>low</x:v>
      </x:c>
      <x:c r="R177" s="37" t="str">
        <x:v>review_required</x:v>
      </x:c>
      <x:c r="S177" s="37" t="str">
        <x:v>False</x:v>
      </x:c>
      <x:c r="T177" s="38" t="str">
        <x:v>Do not promote without scope review, exception review, and author-intent/baseline corroboration.</x:v>
      </x:c>
      <x:c r="U177" s="37" t="str">
        <x:v>62</x:v>
      </x:c>
      <x:c r="V177" s="37" t="str">
        <x:v>medium</x:v>
      </x:c>
      <x:c r="W177" s="37" t="str">
        <x:v>43</x:v>
      </x:c>
      <x:c r="X177" s="37" t="str">
        <x:v>low</x:v>
      </x:c>
      <x:c r="Y177" s="37" t="str">
        <x:v>43</x:v>
      </x:c>
      <x:c r="Z177" s="37" t="str">
        <x:v>low</x:v>
      </x:c>
      <x:c r="AA177" s="38" t="str">
        <x:v>alternative_profiles_present;baseline_incomplete</x:v>
      </x:c>
      <x:c r="AB177" s="37" t="str">
        <x:v>review_required</x:v>
      </x:c>
    </x:row>
    <x:row r="178">
      <x:c r="A178" s="37" t="str">
        <x:v>RC-0177</x:v>
      </x:c>
      <x:c r="B178" s="37" t="str">
        <x:v>spell_numeric</x:v>
      </x:c>
      <x:c r="C178" s="37" t="str">
        <x:v>observed_pattern</x:v>
      </x:c>
      <x:c r="D178" s="37" t="str">
        <x:v>repeated_implementation_profile</x:v>
      </x:c>
      <x:c r="E178" s="37" t="str">
        <x:v>Mysticism</x:v>
      </x:c>
      <x:c r="F178" s="37" t="str">
        <x:v>MysticismMagic.esp</x:v>
      </x:c>
      <x:c r="G178" s="37" t="str">
        <x:v>main</x:v>
      </x:c>
      <x:c r="H178" s="38" t="str">
        <x:v>Within MysticismMagic.esp, the spell_numeric implementation repeatedly uses: Conjuration | skill 25 | Fire and Forget | Target Location | Summon Creature; observed center: 149.5</x:v>
      </x:c>
      <x:c r="I178" s="37" t="str">
        <x:v>6</x:v>
      </x:c>
      <x:c r="J178" s="37" t="str">
        <x:v>observed_patterns:spell_numeric:Conjuration | skill 25 | Fire and Forget | Target Location | Summon Creature</x:v>
      </x:c>
      <x:c r="K178" s="37" t="str">
        <x:v>descriptive_frequency</x:v>
      </x:c>
      <x:c r="L178" s="37" t="str">
        <x:v>mixed_or_external_missing</x:v>
      </x:c>
      <x:c r="M178" s="37" t="str">
        <x:v>alternative_profiles_present</x:v>
      </x:c>
      <x:c r="N178" s="37" t="str">
        <x:v>56</x:v>
      </x:c>
      <x:c r="O178" s="37" t="str"/>
      <x:c r="P178" s="37" t="str">
        <x:v>42</x:v>
      </x:c>
      <x:c r="Q178" s="37" t="str">
        <x:v>low</x:v>
      </x:c>
      <x:c r="R178" s="37" t="str">
        <x:v>review_required</x:v>
      </x:c>
      <x:c r="S178" s="37" t="str">
        <x:v>False</x:v>
      </x:c>
      <x:c r="T178" s="38" t="str">
        <x:v>Do not promote without scope review, exception review, and author-intent/baseline corroboration.</x:v>
      </x:c>
      <x:c r="U178" s="37" t="str">
        <x:v>62</x:v>
      </x:c>
      <x:c r="V178" s="37" t="str">
        <x:v>medium</x:v>
      </x:c>
      <x:c r="W178" s="37" t="str">
        <x:v>43</x:v>
      </x:c>
      <x:c r="X178" s="37" t="str">
        <x:v>low</x:v>
      </x:c>
      <x:c r="Y178" s="37" t="str">
        <x:v>43</x:v>
      </x:c>
      <x:c r="Z178" s="37" t="str">
        <x:v>low</x:v>
      </x:c>
      <x:c r="AA178" s="38" t="str">
        <x:v>alternative_profiles_present;baseline_incomplete</x:v>
      </x:c>
      <x:c r="AB178" s="37" t="str">
        <x:v>review_required</x:v>
      </x:c>
    </x:row>
    <x:row r="179">
      <x:c r="A179" s="37" t="str">
        <x:v>RC-0178</x:v>
      </x:c>
      <x:c r="B179" s="37" t="str">
        <x:v>spell_numeric</x:v>
      </x:c>
      <x:c r="C179" s="37" t="str">
        <x:v>observed_pattern</x:v>
      </x:c>
      <x:c r="D179" s="37" t="str">
        <x:v>repeated_implementation_profile</x:v>
      </x:c>
      <x:c r="E179" s="37" t="str">
        <x:v>Mysticism</x:v>
      </x:c>
      <x:c r="F179" s="37" t="str">
        <x:v>MysticismMagic.esp</x:v>
      </x:c>
      <x:c r="G179" s="37" t="str">
        <x:v>main</x:v>
      </x:c>
      <x:c r="H179" s="38" t="str">
        <x:v>Within MysticismMagic.esp, the spell_numeric implementation repeatedly uses: Conjuration | skill 50 | Fire and Forget | Target Location | Summon Creature; observed center: 247.0</x:v>
      </x:c>
      <x:c r="I179" s="37" t="str">
        <x:v>15</x:v>
      </x:c>
      <x:c r="J179" s="37" t="str">
        <x:v>observed_patterns:spell_numeric:Conjuration | skill 50 | Fire and Forget | Target Location | Summon Creature</x:v>
      </x:c>
      <x:c r="K179" s="37" t="str">
        <x:v>descriptive_frequency</x:v>
      </x:c>
      <x:c r="L179" s="37" t="str">
        <x:v>mixed_or_external_missing</x:v>
      </x:c>
      <x:c r="M179" s="37" t="str">
        <x:v>alternative_profiles_present</x:v>
      </x:c>
      <x:c r="N179" s="37" t="str">
        <x:v>56</x:v>
      </x:c>
      <x:c r="O179" s="37" t="str"/>
      <x:c r="P179" s="37" t="str">
        <x:v>48</x:v>
      </x:c>
      <x:c r="Q179" s="37" t="str">
        <x:v>low</x:v>
      </x:c>
      <x:c r="R179" s="37" t="str">
        <x:v>review_required</x:v>
      </x:c>
      <x:c r="S179" s="37" t="str">
        <x:v>False</x:v>
      </x:c>
      <x:c r="T179" s="38" t="str">
        <x:v>Do not promote without scope review, exception review, and author-intent/baseline corroboration.</x:v>
      </x:c>
      <x:c r="U179" s="37" t="str">
        <x:v>70</x:v>
      </x:c>
      <x:c r="V179" s="37" t="str">
        <x:v>medium</x:v>
      </x:c>
      <x:c r="W179" s="37" t="str">
        <x:v>43</x:v>
      </x:c>
      <x:c r="X179" s="37" t="str">
        <x:v>low</x:v>
      </x:c>
      <x:c r="Y179" s="37" t="str">
        <x:v>48</x:v>
      </x:c>
      <x:c r="Z179" s="37" t="str">
        <x:v>low</x:v>
      </x:c>
      <x:c r="AA179" s="38" t="str">
        <x:v>alternative_profiles_present;baseline_incomplete</x:v>
      </x:c>
      <x:c r="AB179" s="37" t="str">
        <x:v>review_required</x:v>
      </x:c>
    </x:row>
    <x:row r="180">
      <x:c r="A180" s="37" t="str">
        <x:v>RC-0179</x:v>
      </x:c>
      <x:c r="B180" s="37" t="str">
        <x:v>spell_numeric</x:v>
      </x:c>
      <x:c r="C180" s="37" t="str">
        <x:v>observed_pattern</x:v>
      </x:c>
      <x:c r="D180" s="37" t="str">
        <x:v>repeated_implementation_profile</x:v>
      </x:c>
      <x:c r="E180" s="37" t="str">
        <x:v>Mysticism</x:v>
      </x:c>
      <x:c r="F180" s="37" t="str">
        <x:v>MysticismMagic.esp</x:v>
      </x:c>
      <x:c r="G180" s="37" t="str">
        <x:v>main</x:v>
      </x:c>
      <x:c r="H180" s="38" t="str">
        <x:v>Within MysticismMagic.esp, the spell_numeric implementation repeatedly uses: Conjuration | skill 75 | Fire and Forget | Self | Script; observed center: 425.0</x:v>
      </x:c>
      <x:c r="I180" s="37" t="str">
        <x:v>5</x:v>
      </x:c>
      <x:c r="J180" s="37" t="str">
        <x:v>observed_patterns:spell_numeric:Conjuration | skill 75 | Fire and Forget | Self | Script</x:v>
      </x:c>
      <x:c r="K180" s="37" t="str">
        <x:v>descriptive_frequency</x:v>
      </x:c>
      <x:c r="L180" s="37" t="str">
        <x:v>mixed_or_external_missing</x:v>
      </x:c>
      <x:c r="M180" s="37" t="str">
        <x:v>alternative_profiles_present</x:v>
      </x:c>
      <x:c r="N180" s="37" t="str">
        <x:v>56</x:v>
      </x:c>
      <x:c r="O180" s="37" t="str"/>
      <x:c r="P180" s="37" t="str">
        <x:v>42</x:v>
      </x:c>
      <x:c r="Q180" s="37" t="str">
        <x:v>low</x:v>
      </x:c>
      <x:c r="R180" s="37" t="str">
        <x:v>review_required</x:v>
      </x:c>
      <x:c r="S180" s="37" t="str">
        <x:v>False</x:v>
      </x:c>
      <x:c r="T180" s="38" t="str">
        <x:v>Do not promote without scope review, exception review, and author-intent/baseline corroboration.</x:v>
      </x:c>
      <x:c r="U180" s="37" t="str">
        <x:v>62</x:v>
      </x:c>
      <x:c r="V180" s="37" t="str">
        <x:v>medium</x:v>
      </x:c>
      <x:c r="W180" s="37" t="str">
        <x:v>43</x:v>
      </x:c>
      <x:c r="X180" s="37" t="str">
        <x:v>low</x:v>
      </x:c>
      <x:c r="Y180" s="37" t="str">
        <x:v>43</x:v>
      </x:c>
      <x:c r="Z180" s="37" t="str">
        <x:v>low</x:v>
      </x:c>
      <x:c r="AA180" s="38" t="str">
        <x:v>alternative_profiles_present;baseline_incomplete</x:v>
      </x:c>
      <x:c r="AB180" s="37" t="str">
        <x:v>review_required</x:v>
      </x:c>
    </x:row>
    <x:row r="181">
      <x:c r="A181" s="37" t="str">
        <x:v>RC-0180</x:v>
      </x:c>
      <x:c r="B181" s="37" t="str">
        <x:v>spell_numeric</x:v>
      </x:c>
      <x:c r="C181" s="37" t="str">
        <x:v>observed_pattern</x:v>
      </x:c>
      <x:c r="D181" s="37" t="str">
        <x:v>repeated_implementation_profile</x:v>
      </x:c>
      <x:c r="E181" s="37" t="str">
        <x:v>Mysticism</x:v>
      </x:c>
      <x:c r="F181" s="37" t="str">
        <x:v>MysticismMagic.esp</x:v>
      </x:c>
      <x:c r="G181" s="37" t="str">
        <x:v>main</x:v>
      </x:c>
      <x:c r="H181" s="38" t="str">
        <x:v>Within MysticismMagic.esp, the spell_numeric implementation repeatedly uses: Conjuration | skill 75 | Fire and Forget | Target Location | Summon Creature; observed center: 377.0</x:v>
      </x:c>
      <x:c r="I181" s="37" t="str">
        <x:v>12</x:v>
      </x:c>
      <x:c r="J181" s="37" t="str">
        <x:v>observed_patterns:spell_numeric:Conjuration | skill 75 | Fire and Forget | Target Location | Summon Creature</x:v>
      </x:c>
      <x:c r="K181" s="37" t="str">
        <x:v>descriptive_frequency</x:v>
      </x:c>
      <x:c r="L181" s="37" t="str">
        <x:v>mixed_or_external_missing</x:v>
      </x:c>
      <x:c r="M181" s="37" t="str">
        <x:v>alternative_profiles_present</x:v>
      </x:c>
      <x:c r="N181" s="37" t="str">
        <x:v>56</x:v>
      </x:c>
      <x:c r="O181" s="37" t="str"/>
      <x:c r="P181" s="37" t="str">
        <x:v>48</x:v>
      </x:c>
      <x:c r="Q181" s="37" t="str">
        <x:v>low</x:v>
      </x:c>
      <x:c r="R181" s="37" t="str">
        <x:v>review_required</x:v>
      </x:c>
      <x:c r="S181" s="37" t="str">
        <x:v>False</x:v>
      </x:c>
      <x:c r="T181" s="38" t="str">
        <x:v>Do not promote without scope review, exception review, and author-intent/baseline corroboration.</x:v>
      </x:c>
      <x:c r="U181" s="37" t="str">
        <x:v>70</x:v>
      </x:c>
      <x:c r="V181" s="37" t="str">
        <x:v>medium</x:v>
      </x:c>
      <x:c r="W181" s="37" t="str">
        <x:v>43</x:v>
      </x:c>
      <x:c r="X181" s="37" t="str">
        <x:v>low</x:v>
      </x:c>
      <x:c r="Y181" s="37" t="str">
        <x:v>48</x:v>
      </x:c>
      <x:c r="Z181" s="37" t="str">
        <x:v>low</x:v>
      </x:c>
      <x:c r="AA181" s="38" t="str">
        <x:v>alternative_profiles_present;baseline_incomplete</x:v>
      </x:c>
      <x:c r="AB181" s="37" t="str">
        <x:v>review_required</x:v>
      </x:c>
    </x:row>
    <x:row r="182">
      <x:c r="A182" s="37" t="str">
        <x:v>RC-0181</x:v>
      </x:c>
      <x:c r="B182" s="37" t="str">
        <x:v>spell_numeric</x:v>
      </x:c>
      <x:c r="C182" s="37" t="str">
        <x:v>observed_pattern</x:v>
      </x:c>
      <x:c r="D182" s="37" t="str">
        <x:v>repeated_implementation_profile</x:v>
      </x:c>
      <x:c r="E182" s="37" t="str">
        <x:v>Mysticism</x:v>
      </x:c>
      <x:c r="F182" s="37" t="str">
        <x:v>MysticismMagic.esp</x:v>
      </x:c>
      <x:c r="G182" s="37" t="str">
        <x:v>main</x:v>
      </x:c>
      <x:c r="H182" s="38" t="str">
        <x:v>Within MysticismMagic.esp, the spell_numeric implementation repeatedly uses: Destruction | skill 0 | Concentration | Aimed | Absorb; observed center: 17.0</x:v>
      </x:c>
      <x:c r="I182" s="37" t="str">
        <x:v>3</x:v>
      </x:c>
      <x:c r="J182" s="37" t="str">
        <x:v>observed_patterns:spell_numeric:Destruction | skill 0 | Concentration | Aimed | Absorb</x:v>
      </x:c>
      <x:c r="K182" s="37" t="str">
        <x:v>descriptive_frequency</x:v>
      </x:c>
      <x:c r="L182" s="37" t="str">
        <x:v>mixed_or_external_missing</x:v>
      </x:c>
      <x:c r="M182" s="37" t="str">
        <x:v>alternative_profiles_present</x:v>
      </x:c>
      <x:c r="N182" s="37" t="str">
        <x:v>56</x:v>
      </x:c>
      <x:c r="O182" s="37" t="str"/>
      <x:c r="P182" s="37" t="str">
        <x:v>36</x:v>
      </x:c>
      <x:c r="Q182" s="37" t="str">
        <x:v>low</x:v>
      </x:c>
      <x:c r="R182" s="37" t="str">
        <x:v>review_required</x:v>
      </x:c>
      <x:c r="S182" s="37" t="str">
        <x:v>False</x:v>
      </x:c>
      <x:c r="T182" s="38" t="str">
        <x:v>Do not promote without scope review, exception review, and author-intent/baseline corroboration.</x:v>
      </x:c>
      <x:c r="U182" s="37" t="str">
        <x:v>55</x:v>
      </x:c>
      <x:c r="V182" s="37" t="str">
        <x:v>medium</x:v>
      </x:c>
      <x:c r="W182" s="37" t="str">
        <x:v>43</x:v>
      </x:c>
      <x:c r="X182" s="37" t="str">
        <x:v>low</x:v>
      </x:c>
      <x:c r="Y182" s="37" t="str">
        <x:v>40</x:v>
      </x:c>
      <x:c r="Z182" s="37" t="str">
        <x:v>low</x:v>
      </x:c>
      <x:c r="AA182" s="38" t="str">
        <x:v>alternative_profiles_present;baseline_incomplete</x:v>
      </x:c>
      <x:c r="AB182" s="37" t="str">
        <x:v>review_required</x:v>
      </x:c>
    </x:row>
    <x:row r="183">
      <x:c r="A183" s="37" t="str">
        <x:v>RC-0182</x:v>
      </x:c>
      <x:c r="B183" s="37" t="str">
        <x:v>spell_numeric</x:v>
      </x:c>
      <x:c r="C183" s="37" t="str">
        <x:v>observed_pattern</x:v>
      </x:c>
      <x:c r="D183" s="37" t="str">
        <x:v>repeated_implementation_profile</x:v>
      </x:c>
      <x:c r="E183" s="37" t="str">
        <x:v>Mysticism</x:v>
      </x:c>
      <x:c r="F183" s="37" t="str">
        <x:v>MysticismMagic.esp</x:v>
      </x:c>
      <x:c r="G183" s="37" t="str">
        <x:v>main</x:v>
      </x:c>
      <x:c r="H183" s="38" t="str">
        <x:v>Within MysticismMagic.esp, the spell_numeric implementation repeatedly uses: Destruction | skill 0 | Concentration | Aimed | Dual Value Modifier; observed center: 19.5</x:v>
      </x:c>
      <x:c r="I183" s="37" t="str">
        <x:v>8</x:v>
      </x:c>
      <x:c r="J183" s="37" t="str">
        <x:v>observed_patterns:spell_numeric:Destruction | skill 0 | Concentration | Aimed | Dual Value Modifier</x:v>
      </x:c>
      <x:c r="K183" s="37" t="str">
        <x:v>descriptive_frequency</x:v>
      </x:c>
      <x:c r="L183" s="37" t="str">
        <x:v>mixed_or_external_missing</x:v>
      </x:c>
      <x:c r="M183" s="37" t="str">
        <x:v>alternative_profiles_present</x:v>
      </x:c>
      <x:c r="N183" s="37" t="str">
        <x:v>56</x:v>
      </x:c>
      <x:c r="O183" s="37" t="str"/>
      <x:c r="P183" s="37" t="str">
        <x:v>42</x:v>
      </x:c>
      <x:c r="Q183" s="37" t="str">
        <x:v>low</x:v>
      </x:c>
      <x:c r="R183" s="37" t="str">
        <x:v>review_required</x:v>
      </x:c>
      <x:c r="S183" s="37" t="str">
        <x:v>False</x:v>
      </x:c>
      <x:c r="T183" s="38" t="str">
        <x:v>Do not promote without scope review, exception review, and author-intent/baseline corroboration.</x:v>
      </x:c>
      <x:c r="U183" s="37" t="str">
        <x:v>62</x:v>
      </x:c>
      <x:c r="V183" s="37" t="str">
        <x:v>medium</x:v>
      </x:c>
      <x:c r="W183" s="37" t="str">
        <x:v>43</x:v>
      </x:c>
      <x:c r="X183" s="37" t="str">
        <x:v>low</x:v>
      </x:c>
      <x:c r="Y183" s="37" t="str">
        <x:v>43</x:v>
      </x:c>
      <x:c r="Z183" s="37" t="str">
        <x:v>low</x:v>
      </x:c>
      <x:c r="AA183" s="38" t="str">
        <x:v>alternative_profiles_present;baseline_incomplete</x:v>
      </x:c>
      <x:c r="AB183" s="37" t="str">
        <x:v>review_required</x:v>
      </x:c>
    </x:row>
    <x:row r="184">
      <x:c r="A184" s="37" t="str">
        <x:v>RC-0183</x:v>
      </x:c>
      <x:c r="B184" s="37" t="str">
        <x:v>spell_numeric</x:v>
      </x:c>
      <x:c r="C184" s="37" t="str">
        <x:v>observed_pattern</x:v>
      </x:c>
      <x:c r="D184" s="37" t="str">
        <x:v>repeated_implementation_profile</x:v>
      </x:c>
      <x:c r="E184" s="37" t="str">
        <x:v>Mysticism</x:v>
      </x:c>
      <x:c r="F184" s="37" t="str">
        <x:v>MysticismMagic.esp</x:v>
      </x:c>
      <x:c r="G184" s="37" t="str">
        <x:v>main</x:v>
      </x:c>
      <x:c r="H184" s="38" t="str">
        <x:v>Within MysticismMagic.esp, the spell_numeric implementation repeatedly uses: Destruction | skill 0 | Concentration | Aimed | Value Modifier; observed center: 18.0</x:v>
      </x:c>
      <x:c r="I184" s="37" t="str">
        <x:v>4</x:v>
      </x:c>
      <x:c r="J184" s="37" t="str">
        <x:v>observed_patterns:spell_numeric:Destruction | skill 0 | Concentration | Aimed | Value Modifier</x:v>
      </x:c>
      <x:c r="K184" s="37" t="str">
        <x:v>descriptive_frequency</x:v>
      </x:c>
      <x:c r="L184" s="37" t="str">
        <x:v>mixed_or_external_missing</x:v>
      </x:c>
      <x:c r="M184" s="37" t="str">
        <x:v>alternative_profiles_present</x:v>
      </x:c>
      <x:c r="N184" s="37" t="str">
        <x:v>56</x:v>
      </x:c>
      <x:c r="O184" s="37" t="str"/>
      <x:c r="P184" s="37" t="str">
        <x:v>36</x:v>
      </x:c>
      <x:c r="Q184" s="37" t="str">
        <x:v>low</x:v>
      </x:c>
      <x:c r="R184" s="37" t="str">
        <x:v>review_required</x:v>
      </x:c>
      <x:c r="S184" s="37" t="str">
        <x:v>False</x:v>
      </x:c>
      <x:c r="T184" s="38" t="str">
        <x:v>Do not promote without scope review, exception review, and author-intent/baseline corroboration.</x:v>
      </x:c>
      <x:c r="U184" s="37" t="str">
        <x:v>55</x:v>
      </x:c>
      <x:c r="V184" s="37" t="str">
        <x:v>medium</x:v>
      </x:c>
      <x:c r="W184" s="37" t="str">
        <x:v>43</x:v>
      </x:c>
      <x:c r="X184" s="37" t="str">
        <x:v>low</x:v>
      </x:c>
      <x:c r="Y184" s="37" t="str">
        <x:v>40</x:v>
      </x:c>
      <x:c r="Z184" s="37" t="str">
        <x:v>low</x:v>
      </x:c>
      <x:c r="AA184" s="38" t="str">
        <x:v>alternative_profiles_present;baseline_incomplete</x:v>
      </x:c>
      <x:c r="AB184" s="37" t="str">
        <x:v>review_required</x:v>
      </x:c>
    </x:row>
    <x:row r="185">
      <x:c r="A185" s="37" t="str">
        <x:v>RC-0184</x:v>
      </x:c>
      <x:c r="B185" s="37" t="str">
        <x:v>spell_numeric</x:v>
      </x:c>
      <x:c r="C185" s="37" t="str">
        <x:v>observed_pattern</x:v>
      </x:c>
      <x:c r="D185" s="37" t="str">
        <x:v>repeated_implementation_profile</x:v>
      </x:c>
      <x:c r="E185" s="37" t="str">
        <x:v>Mysticism</x:v>
      </x:c>
      <x:c r="F185" s="37" t="str">
        <x:v>MysticismMagic.esp</x:v>
      </x:c>
      <x:c r="G185" s="37" t="str">
        <x:v>main</x:v>
      </x:c>
      <x:c r="H185" s="38" t="str">
        <x:v>Within MysticismMagic.esp, the spell_numeric implementation repeatedly uses: Destruction | skill 0 | Fire and Forget | Touch | Dual Value Modifier; observed center: 83.0</x:v>
      </x:c>
      <x:c r="I185" s="37" t="str">
        <x:v>4</x:v>
      </x:c>
      <x:c r="J185" s="37" t="str">
        <x:v>observed_patterns:spell_numeric:Destruction | skill 0 | Fire and Forget | Touch | Dual Value Modifier</x:v>
      </x:c>
      <x:c r="K185" s="37" t="str">
        <x:v>descriptive_frequency</x:v>
      </x:c>
      <x:c r="L185" s="37" t="str">
        <x:v>mixed_or_external_missing</x:v>
      </x:c>
      <x:c r="M185" s="37" t="str">
        <x:v>alternative_profiles_present</x:v>
      </x:c>
      <x:c r="N185" s="37" t="str">
        <x:v>56</x:v>
      </x:c>
      <x:c r="O185" s="37" t="str"/>
      <x:c r="P185" s="37" t="str">
        <x:v>36</x:v>
      </x:c>
      <x:c r="Q185" s="37" t="str">
        <x:v>low</x:v>
      </x:c>
      <x:c r="R185" s="37" t="str">
        <x:v>review_required</x:v>
      </x:c>
      <x:c r="S185" s="37" t="str">
        <x:v>False</x:v>
      </x:c>
      <x:c r="T185" s="38" t="str">
        <x:v>Do not promote without scope review, exception review, and author-intent/baseline corroboration.</x:v>
      </x:c>
      <x:c r="U185" s="37" t="str">
        <x:v>55</x:v>
      </x:c>
      <x:c r="V185" s="37" t="str">
        <x:v>medium</x:v>
      </x:c>
      <x:c r="W185" s="37" t="str">
        <x:v>43</x:v>
      </x:c>
      <x:c r="X185" s="37" t="str">
        <x:v>low</x:v>
      </x:c>
      <x:c r="Y185" s="37" t="str">
        <x:v>40</x:v>
      </x:c>
      <x:c r="Z185" s="37" t="str">
        <x:v>low</x:v>
      </x:c>
      <x:c r="AA185" s="38" t="str">
        <x:v>alternative_profiles_present;baseline_incomplete</x:v>
      </x:c>
      <x:c r="AB185" s="37" t="str">
        <x:v>review_required</x:v>
      </x:c>
    </x:row>
    <x:row r="186">
      <x:c r="A186" s="37" t="str">
        <x:v>RC-0185</x:v>
      </x:c>
      <x:c r="B186" s="37" t="str">
        <x:v>spell_numeric</x:v>
      </x:c>
      <x:c r="C186" s="37" t="str">
        <x:v>observed_pattern</x:v>
      </x:c>
      <x:c r="D186" s="37" t="str">
        <x:v>repeated_implementation_profile</x:v>
      </x:c>
      <x:c r="E186" s="37" t="str">
        <x:v>Mysticism</x:v>
      </x:c>
      <x:c r="F186" s="37" t="str">
        <x:v>MysticismMagic.esp</x:v>
      </x:c>
      <x:c r="G186" s="37" t="str">
        <x:v>main</x:v>
      </x:c>
      <x:c r="H186" s="38" t="str">
        <x:v>Within MysticismMagic.esp, the spell_numeric implementation repeatedly uses: Destruction | skill 100 | Concentration | Aimed | Absorb; observed center: 140.0</x:v>
      </x:c>
      <x:c r="I186" s="37" t="str">
        <x:v>3</x:v>
      </x:c>
      <x:c r="J186" s="37" t="str">
        <x:v>observed_patterns:spell_numeric:Destruction | skill 100 | Concentration | Aimed | Absorb</x:v>
      </x:c>
      <x:c r="K186" s="37" t="str">
        <x:v>descriptive_frequency</x:v>
      </x:c>
      <x:c r="L186" s="37" t="str">
        <x:v>mixed_or_external_missing</x:v>
      </x:c>
      <x:c r="M186" s="37" t="str">
        <x:v>alternative_profiles_present</x:v>
      </x:c>
      <x:c r="N186" s="37" t="str">
        <x:v>56</x:v>
      </x:c>
      <x:c r="O186" s="37" t="str"/>
      <x:c r="P186" s="37" t="str">
        <x:v>36</x:v>
      </x:c>
      <x:c r="Q186" s="37" t="str">
        <x:v>low</x:v>
      </x:c>
      <x:c r="R186" s="37" t="str">
        <x:v>review_required</x:v>
      </x:c>
      <x:c r="S186" s="37" t="str">
        <x:v>False</x:v>
      </x:c>
      <x:c r="T186" s="38" t="str">
        <x:v>Do not promote without scope review, exception review, and author-intent/baseline corroboration.</x:v>
      </x:c>
      <x:c r="U186" s="37" t="str">
        <x:v>55</x:v>
      </x:c>
      <x:c r="V186" s="37" t="str">
        <x:v>medium</x:v>
      </x:c>
      <x:c r="W186" s="37" t="str">
        <x:v>43</x:v>
      </x:c>
      <x:c r="X186" s="37" t="str">
        <x:v>low</x:v>
      </x:c>
      <x:c r="Y186" s="37" t="str">
        <x:v>40</x:v>
      </x:c>
      <x:c r="Z186" s="37" t="str">
        <x:v>low</x:v>
      </x:c>
      <x:c r="AA186" s="38" t="str">
        <x:v>alternative_profiles_present;baseline_incomplete</x:v>
      </x:c>
      <x:c r="AB186" s="37" t="str">
        <x:v>review_required</x:v>
      </x:c>
    </x:row>
    <x:row r="187">
      <x:c r="A187" s="37" t="str">
        <x:v>RC-0186</x:v>
      </x:c>
      <x:c r="B187" s="37" t="str">
        <x:v>spell_numeric</x:v>
      </x:c>
      <x:c r="C187" s="37" t="str">
        <x:v>observed_pattern</x:v>
      </x:c>
      <x:c r="D187" s="37" t="str">
        <x:v>repeated_implementation_profile</x:v>
      </x:c>
      <x:c r="E187" s="37" t="str">
        <x:v>Mysticism</x:v>
      </x:c>
      <x:c r="F187" s="37" t="str">
        <x:v>MysticismMagic.esp</x:v>
      </x:c>
      <x:c r="G187" s="37" t="str">
        <x:v>main</x:v>
      </x:c>
      <x:c r="H187" s="38" t="str">
        <x:v>Within MysticismMagic.esp, the spell_numeric implementation repeatedly uses: Destruction | skill 100 | Fire and Forget | Aimed | Dual Value Modifier; observed center: 400.5</x:v>
      </x:c>
      <x:c r="I187" s="37" t="str">
        <x:v>4</x:v>
      </x:c>
      <x:c r="J187" s="37" t="str">
        <x:v>observed_patterns:spell_numeric:Destruction | skill 100 | Fire and Forget | Aimed | Dual Value Modifier</x:v>
      </x:c>
      <x:c r="K187" s="37" t="str">
        <x:v>descriptive_frequency</x:v>
      </x:c>
      <x:c r="L187" s="37" t="str">
        <x:v>mixed_or_external_missing</x:v>
      </x:c>
      <x:c r="M187" s="37" t="str">
        <x:v>alternative_profiles_present</x:v>
      </x:c>
      <x:c r="N187" s="37" t="str">
        <x:v>56</x:v>
      </x:c>
      <x:c r="O187" s="37" t="str"/>
      <x:c r="P187" s="37" t="str">
        <x:v>36</x:v>
      </x:c>
      <x:c r="Q187" s="37" t="str">
        <x:v>low</x:v>
      </x:c>
      <x:c r="R187" s="37" t="str">
        <x:v>review_required</x:v>
      </x:c>
      <x:c r="S187" s="37" t="str">
        <x:v>False</x:v>
      </x:c>
      <x:c r="T187" s="38" t="str">
        <x:v>Do not promote without scope review, exception review, and author-intent/baseline corroboration.</x:v>
      </x:c>
      <x:c r="U187" s="37" t="str">
        <x:v>55</x:v>
      </x:c>
      <x:c r="V187" s="37" t="str">
        <x:v>medium</x:v>
      </x:c>
      <x:c r="W187" s="37" t="str">
        <x:v>43</x:v>
      </x:c>
      <x:c r="X187" s="37" t="str">
        <x:v>low</x:v>
      </x:c>
      <x:c r="Y187" s="37" t="str">
        <x:v>40</x:v>
      </x:c>
      <x:c r="Z187" s="37" t="str">
        <x:v>low</x:v>
      </x:c>
      <x:c r="AA187" s="38" t="str">
        <x:v>alternative_profiles_present;baseline_incomplete</x:v>
      </x:c>
      <x:c r="AB187" s="37" t="str">
        <x:v>review_required</x:v>
      </x:c>
    </x:row>
    <x:row r="188">
      <x:c r="A188" s="37" t="str">
        <x:v>RC-0187</x:v>
      </x:c>
      <x:c r="B188" s="37" t="str">
        <x:v>spell_numeric</x:v>
      </x:c>
      <x:c r="C188" s="37" t="str">
        <x:v>observed_pattern</x:v>
      </x:c>
      <x:c r="D188" s="37" t="str">
        <x:v>repeated_implementation_profile</x:v>
      </x:c>
      <x:c r="E188" s="37" t="str">
        <x:v>Mysticism</x:v>
      </x:c>
      <x:c r="F188" s="37" t="str">
        <x:v>MysticismMagic.esp</x:v>
      </x:c>
      <x:c r="G188" s="37" t="str">
        <x:v>main</x:v>
      </x:c>
      <x:c r="H188" s="38" t="str">
        <x:v>Within MysticismMagic.esp, the spell_numeric implementation repeatedly uses: Destruction | skill 100 | Fire and Forget | Self | Cloak; observed center: 620.0</x:v>
      </x:c>
      <x:c r="I188" s="37" t="str">
        <x:v>3</x:v>
      </x:c>
      <x:c r="J188" s="37" t="str">
        <x:v>observed_patterns:spell_numeric:Destruction | skill 100 | Fire and Forget | Self | Cloak</x:v>
      </x:c>
      <x:c r="K188" s="37" t="str">
        <x:v>descriptive_frequency</x:v>
      </x:c>
      <x:c r="L188" s="37" t="str">
        <x:v>mixed_or_external_missing</x:v>
      </x:c>
      <x:c r="M188" s="37" t="str">
        <x:v>alternative_profiles_present</x:v>
      </x:c>
      <x:c r="N188" s="37" t="str">
        <x:v>56</x:v>
      </x:c>
      <x:c r="O188" s="37" t="str"/>
      <x:c r="P188" s="37" t="str">
        <x:v>36</x:v>
      </x:c>
      <x:c r="Q188" s="37" t="str">
        <x:v>low</x:v>
      </x:c>
      <x:c r="R188" s="37" t="str">
        <x:v>review_required</x:v>
      </x:c>
      <x:c r="S188" s="37" t="str">
        <x:v>False</x:v>
      </x:c>
      <x:c r="T188" s="38" t="str">
        <x:v>Do not promote without scope review, exception review, and author-intent/baseline corroboration.</x:v>
      </x:c>
      <x:c r="U188" s="37" t="str">
        <x:v>55</x:v>
      </x:c>
      <x:c r="V188" s="37" t="str">
        <x:v>medium</x:v>
      </x:c>
      <x:c r="W188" s="37" t="str">
        <x:v>43</x:v>
      </x:c>
      <x:c r="X188" s="37" t="str">
        <x:v>low</x:v>
      </x:c>
      <x:c r="Y188" s="37" t="str">
        <x:v>40</x:v>
      </x:c>
      <x:c r="Z188" s="37" t="str">
        <x:v>low</x:v>
      </x:c>
      <x:c r="AA188" s="38" t="str">
        <x:v>alternative_profiles_present;baseline_incomplete</x:v>
      </x:c>
      <x:c r="AB188" s="37" t="str">
        <x:v>review_required</x:v>
      </x:c>
    </x:row>
    <x:row r="189">
      <x:c r="A189" s="37" t="str">
        <x:v>RC-0188</x:v>
      </x:c>
      <x:c r="B189" s="37" t="str">
        <x:v>spell_numeric</x:v>
      </x:c>
      <x:c r="C189" s="37" t="str">
        <x:v>observed_pattern</x:v>
      </x:c>
      <x:c r="D189" s="37" t="str">
        <x:v>repeated_implementation_profile</x:v>
      </x:c>
      <x:c r="E189" s="37" t="str">
        <x:v>Mysticism</x:v>
      </x:c>
      <x:c r="F189" s="37" t="str">
        <x:v>MysticismMagic.esp</x:v>
      </x:c>
      <x:c r="G189" s="37" t="str">
        <x:v>main</x:v>
      </x:c>
      <x:c r="H189" s="38" t="str">
        <x:v>Within MysticismMagic.esp, the spell_numeric implementation repeatedly uses: Destruction | skill 25 | Fire and Forget | Aimed | Dual Value Modifier; observed center: 40.0</x:v>
      </x:c>
      <x:c r="I189" s="37" t="str">
        <x:v>5</x:v>
      </x:c>
      <x:c r="J189" s="37" t="str">
        <x:v>observed_patterns:spell_numeric:Destruction | skill 25 | Fire and Forget | Aimed | Dual Value Modifier</x:v>
      </x:c>
      <x:c r="K189" s="37" t="str">
        <x:v>descriptive_frequency</x:v>
      </x:c>
      <x:c r="L189" s="37" t="str">
        <x:v>mixed_or_external_missing</x:v>
      </x:c>
      <x:c r="M189" s="37" t="str">
        <x:v>alternative_profiles_present</x:v>
      </x:c>
      <x:c r="N189" s="37" t="str">
        <x:v>56</x:v>
      </x:c>
      <x:c r="O189" s="37" t="str"/>
      <x:c r="P189" s="37" t="str">
        <x:v>42</x:v>
      </x:c>
      <x:c r="Q189" s="37" t="str">
        <x:v>low</x:v>
      </x:c>
      <x:c r="R189" s="37" t="str">
        <x:v>review_required</x:v>
      </x:c>
      <x:c r="S189" s="37" t="str">
        <x:v>False</x:v>
      </x:c>
      <x:c r="T189" s="38" t="str">
        <x:v>Do not promote without scope review, exception review, and author-intent/baseline corroboration.</x:v>
      </x:c>
      <x:c r="U189" s="37" t="str">
        <x:v>62</x:v>
      </x:c>
      <x:c r="V189" s="37" t="str">
        <x:v>medium</x:v>
      </x:c>
      <x:c r="W189" s="37" t="str">
        <x:v>43</x:v>
      </x:c>
      <x:c r="X189" s="37" t="str">
        <x:v>low</x:v>
      </x:c>
      <x:c r="Y189" s="37" t="str">
        <x:v>43</x:v>
      </x:c>
      <x:c r="Z189" s="37" t="str">
        <x:v>low</x:v>
      </x:c>
      <x:c r="AA189" s="38" t="str">
        <x:v>alternative_profiles_present;baseline_incomplete</x:v>
      </x:c>
      <x:c r="AB189" s="37" t="str">
        <x:v>review_required</x:v>
      </x:c>
    </x:row>
    <x:row r="190">
      <x:c r="A190" s="37" t="str">
        <x:v>RC-0189</x:v>
      </x:c>
      <x:c r="B190" s="37" t="str">
        <x:v>spell_numeric</x:v>
      </x:c>
      <x:c r="C190" s="37" t="str">
        <x:v>observed_pattern</x:v>
      </x:c>
      <x:c r="D190" s="37" t="str">
        <x:v>repeated_implementation_profile</x:v>
      </x:c>
      <x:c r="E190" s="37" t="str">
        <x:v>Mysticism</x:v>
      </x:c>
      <x:c r="F190" s="37" t="str">
        <x:v>MysticismMagic.esp</x:v>
      </x:c>
      <x:c r="G190" s="37" t="str">
        <x:v>main</x:v>
      </x:c>
      <x:c r="H190" s="38" t="str">
        <x:v>Within MysticismMagic.esp, the spell_numeric implementation repeatedly uses: Destruction | skill 25 | Fire and Forget | Aimed | Value Modifier; observed center: 45.0</x:v>
      </x:c>
      <x:c r="I190" s="37" t="str">
        <x:v>4</x:v>
      </x:c>
      <x:c r="J190" s="37" t="str">
        <x:v>observed_patterns:spell_numeric:Destruction | skill 25 | Fire and Forget | Aimed | Value Modifier</x:v>
      </x:c>
      <x:c r="K190" s="37" t="str">
        <x:v>descriptive_frequency</x:v>
      </x:c>
      <x:c r="L190" s="37" t="str">
        <x:v>mixed_or_external_missing</x:v>
      </x:c>
      <x:c r="M190" s="37" t="str">
        <x:v>alternative_profiles_present</x:v>
      </x:c>
      <x:c r="N190" s="37" t="str">
        <x:v>56</x:v>
      </x:c>
      <x:c r="O190" s="37" t="str"/>
      <x:c r="P190" s="37" t="str">
        <x:v>36</x:v>
      </x:c>
      <x:c r="Q190" s="37" t="str">
        <x:v>low</x:v>
      </x:c>
      <x:c r="R190" s="37" t="str">
        <x:v>review_required</x:v>
      </x:c>
      <x:c r="S190" s="37" t="str">
        <x:v>False</x:v>
      </x:c>
      <x:c r="T190" s="38" t="str">
        <x:v>Do not promote without scope review, exception review, and author-intent/baseline corroboration.</x:v>
      </x:c>
      <x:c r="U190" s="37" t="str">
        <x:v>55</x:v>
      </x:c>
      <x:c r="V190" s="37" t="str">
        <x:v>medium</x:v>
      </x:c>
      <x:c r="W190" s="37" t="str">
        <x:v>43</x:v>
      </x:c>
      <x:c r="X190" s="37" t="str">
        <x:v>low</x:v>
      </x:c>
      <x:c r="Y190" s="37" t="str">
        <x:v>40</x:v>
      </x:c>
      <x:c r="Z190" s="37" t="str">
        <x:v>low</x:v>
      </x:c>
      <x:c r="AA190" s="38" t="str">
        <x:v>alternative_profiles_present;baseline_incomplete</x:v>
      </x:c>
      <x:c r="AB190" s="37" t="str">
        <x:v>review_required</x:v>
      </x:c>
    </x:row>
    <x:row r="191">
      <x:c r="A191" s="37" t="str">
        <x:v>RC-0190</x:v>
      </x:c>
      <x:c r="B191" s="37" t="str">
        <x:v>spell_numeric</x:v>
      </x:c>
      <x:c r="C191" s="37" t="str">
        <x:v>observed_pattern</x:v>
      </x:c>
      <x:c r="D191" s="37" t="str">
        <x:v>repeated_implementation_profile</x:v>
      </x:c>
      <x:c r="E191" s="37" t="str">
        <x:v>Mysticism</x:v>
      </x:c>
      <x:c r="F191" s="37" t="str">
        <x:v>MysticismMagic.esp</x:v>
      </x:c>
      <x:c r="G191" s="37" t="str">
        <x:v>main</x:v>
      </x:c>
      <x:c r="H191" s="38" t="str">
        <x:v>Within MysticismMagic.esp, the spell_numeric implementation repeatedly uses: Destruction | skill 50 | Concentration | Aimed | Absorb; observed center: 45.0</x:v>
      </x:c>
      <x:c r="I191" s="37" t="str">
        <x:v>3</x:v>
      </x:c>
      <x:c r="J191" s="37" t="str">
        <x:v>observed_patterns:spell_numeric:Destruction | skill 50 | Concentration | Aimed | Absorb</x:v>
      </x:c>
      <x:c r="K191" s="37" t="str">
        <x:v>descriptive_frequency</x:v>
      </x:c>
      <x:c r="L191" s="37" t="str">
        <x:v>mixed_or_external_missing</x:v>
      </x:c>
      <x:c r="M191" s="37" t="str">
        <x:v>alternative_profiles_present</x:v>
      </x:c>
      <x:c r="N191" s="37" t="str">
        <x:v>56</x:v>
      </x:c>
      <x:c r="O191" s="37" t="str"/>
      <x:c r="P191" s="37" t="str">
        <x:v>36</x:v>
      </x:c>
      <x:c r="Q191" s="37" t="str">
        <x:v>low</x:v>
      </x:c>
      <x:c r="R191" s="37" t="str">
        <x:v>review_required</x:v>
      </x:c>
      <x:c r="S191" s="37" t="str">
        <x:v>False</x:v>
      </x:c>
      <x:c r="T191" s="38" t="str">
        <x:v>Do not promote without scope review, exception review, and author-intent/baseline corroboration.</x:v>
      </x:c>
      <x:c r="U191" s="37" t="str">
        <x:v>55</x:v>
      </x:c>
      <x:c r="V191" s="37" t="str">
        <x:v>medium</x:v>
      </x:c>
      <x:c r="W191" s="37" t="str">
        <x:v>43</x:v>
      </x:c>
      <x:c r="X191" s="37" t="str">
        <x:v>low</x:v>
      </x:c>
      <x:c r="Y191" s="37" t="str">
        <x:v>40</x:v>
      </x:c>
      <x:c r="Z191" s="37" t="str">
        <x:v>low</x:v>
      </x:c>
      <x:c r="AA191" s="38" t="str">
        <x:v>alternative_profiles_present;baseline_incomplete</x:v>
      </x:c>
      <x:c r="AB191" s="37" t="str">
        <x:v>review_required</x:v>
      </x:c>
    </x:row>
    <x:row r="192">
      <x:c r="A192" s="37" t="str">
        <x:v>RC-0191</x:v>
      </x:c>
      <x:c r="B192" s="37" t="str">
        <x:v>spell_numeric</x:v>
      </x:c>
      <x:c r="C192" s="37" t="str">
        <x:v>observed_pattern</x:v>
      </x:c>
      <x:c r="D192" s="37" t="str">
        <x:v>repeated_implementation_profile</x:v>
      </x:c>
      <x:c r="E192" s="37" t="str">
        <x:v>Mysticism</x:v>
      </x:c>
      <x:c r="F192" s="37" t="str">
        <x:v>MysticismMagic.esp</x:v>
      </x:c>
      <x:c r="G192" s="37" t="str">
        <x:v>main</x:v>
      </x:c>
      <x:c r="H192" s="38" t="str">
        <x:v>Within MysticismMagic.esp, the spell_numeric implementation repeatedly uses: Destruction | skill 50 | Fire and Forget | Aimed | Dual Value Modifier; observed center: 124.0</x:v>
      </x:c>
      <x:c r="I192" s="37" t="str">
        <x:v>13</x:v>
      </x:c>
      <x:c r="J192" s="37" t="str">
        <x:v>observed_patterns:spell_numeric:Destruction | skill 50 | Fire and Forget | Aimed | Dual Value Modifier</x:v>
      </x:c>
      <x:c r="K192" s="37" t="str">
        <x:v>descriptive_frequency</x:v>
      </x:c>
      <x:c r="L192" s="37" t="str">
        <x:v>mixed_or_external_missing</x:v>
      </x:c>
      <x:c r="M192" s="37" t="str">
        <x:v>alternative_profiles_present</x:v>
      </x:c>
      <x:c r="N192" s="37" t="str">
        <x:v>56</x:v>
      </x:c>
      <x:c r="O192" s="37" t="str"/>
      <x:c r="P192" s="37" t="str">
        <x:v>48</x:v>
      </x:c>
      <x:c r="Q192" s="37" t="str">
        <x:v>low</x:v>
      </x:c>
      <x:c r="R192" s="37" t="str">
        <x:v>review_required</x:v>
      </x:c>
      <x:c r="S192" s="37" t="str">
        <x:v>False</x:v>
      </x:c>
      <x:c r="T192" s="38" t="str">
        <x:v>Do not promote without scope review, exception review, and author-intent/baseline corroboration.</x:v>
      </x:c>
      <x:c r="U192" s="37" t="str">
        <x:v>70</x:v>
      </x:c>
      <x:c r="V192" s="37" t="str">
        <x:v>medium</x:v>
      </x:c>
      <x:c r="W192" s="37" t="str">
        <x:v>43</x:v>
      </x:c>
      <x:c r="X192" s="37" t="str">
        <x:v>low</x:v>
      </x:c>
      <x:c r="Y192" s="37" t="str">
        <x:v>48</x:v>
      </x:c>
      <x:c r="Z192" s="37" t="str">
        <x:v>low</x:v>
      </x:c>
      <x:c r="AA192" s="38" t="str">
        <x:v>alternative_profiles_present;baseline_incomplete</x:v>
      </x:c>
      <x:c r="AB192" s="37" t="str">
        <x:v>review_required</x:v>
      </x:c>
    </x:row>
    <x:row r="193">
      <x:c r="A193" s="37" t="str">
        <x:v>RC-0192</x:v>
      </x:c>
      <x:c r="B193" s="37" t="str">
        <x:v>spell_numeric</x:v>
      </x:c>
      <x:c r="C193" s="37" t="str">
        <x:v>observed_pattern</x:v>
      </x:c>
      <x:c r="D193" s="37" t="str">
        <x:v>repeated_implementation_profile</x:v>
      </x:c>
      <x:c r="E193" s="37" t="str">
        <x:v>Mysticism</x:v>
      </x:c>
      <x:c r="F193" s="37" t="str">
        <x:v>MysticismMagic.esp</x:v>
      </x:c>
      <x:c r="G193" s="37" t="str">
        <x:v>main</x:v>
      </x:c>
      <x:c r="H193" s="38" t="str">
        <x:v>Within MysticismMagic.esp, the spell_numeric implementation repeatedly uses: Destruction | skill 50 | Fire and Forget | Aimed | Value Modifier; observed center: 128.5</x:v>
      </x:c>
      <x:c r="I193" s="37" t="str">
        <x:v>6</x:v>
      </x:c>
      <x:c r="J193" s="37" t="str">
        <x:v>observed_patterns:spell_numeric:Destruction | skill 50 | Fire and Forget | Aimed | Value Modifier</x:v>
      </x:c>
      <x:c r="K193" s="37" t="str">
        <x:v>descriptive_frequency</x:v>
      </x:c>
      <x:c r="L193" s="37" t="str">
        <x:v>mixed_or_external_missing</x:v>
      </x:c>
      <x:c r="M193" s="37" t="str">
        <x:v>alternative_profiles_present</x:v>
      </x:c>
      <x:c r="N193" s="37" t="str">
        <x:v>56</x:v>
      </x:c>
      <x:c r="O193" s="37" t="str"/>
      <x:c r="P193" s="37" t="str">
        <x:v>42</x:v>
      </x:c>
      <x:c r="Q193" s="37" t="str">
        <x:v>low</x:v>
      </x:c>
      <x:c r="R193" s="37" t="str">
        <x:v>review_required</x:v>
      </x:c>
      <x:c r="S193" s="37" t="str">
        <x:v>False</x:v>
      </x:c>
      <x:c r="T193" s="38" t="str">
        <x:v>Do not promote without scope review, exception review, and author-intent/baseline corroboration.</x:v>
      </x:c>
      <x:c r="U193" s="37" t="str">
        <x:v>62</x:v>
      </x:c>
      <x:c r="V193" s="37" t="str">
        <x:v>medium</x:v>
      </x:c>
      <x:c r="W193" s="37" t="str">
        <x:v>43</x:v>
      </x:c>
      <x:c r="X193" s="37" t="str">
        <x:v>low</x:v>
      </x:c>
      <x:c r="Y193" s="37" t="str">
        <x:v>43</x:v>
      </x:c>
      <x:c r="Z193" s="37" t="str">
        <x:v>low</x:v>
      </x:c>
      <x:c r="AA193" s="38" t="str">
        <x:v>alternative_profiles_present;baseline_incomplete</x:v>
      </x:c>
      <x:c r="AB193" s="37" t="str">
        <x:v>review_required</x:v>
      </x:c>
    </x:row>
    <x:row r="194">
      <x:c r="A194" s="37" t="str">
        <x:v>RC-0193</x:v>
      </x:c>
      <x:c r="B194" s="37" t="str">
        <x:v>spell_numeric</x:v>
      </x:c>
      <x:c r="C194" s="37" t="str">
        <x:v>observed_pattern</x:v>
      </x:c>
      <x:c r="D194" s="37" t="str">
        <x:v>repeated_implementation_profile</x:v>
      </x:c>
      <x:c r="E194" s="37" t="str">
        <x:v>Mysticism</x:v>
      </x:c>
      <x:c r="F194" s="37" t="str">
        <x:v>MysticismMagic.esp</x:v>
      </x:c>
      <x:c r="G194" s="37" t="str">
        <x:v>main</x:v>
      </x:c>
      <x:c r="H194" s="38" t="str">
        <x:v>Within MysticismMagic.esp, the spell_numeric implementation repeatedly uses: Destruction | skill 50 | Fire and Forget | Self | Cloak; observed center: 268.0</x:v>
      </x:c>
      <x:c r="I194" s="37" t="str">
        <x:v>5</x:v>
      </x:c>
      <x:c r="J194" s="37" t="str">
        <x:v>observed_patterns:spell_numeric:Destruction | skill 50 | Fire and Forget | Self | Cloak</x:v>
      </x:c>
      <x:c r="K194" s="37" t="str">
        <x:v>descriptive_frequency</x:v>
      </x:c>
      <x:c r="L194" s="37" t="str">
        <x:v>mixed_or_external_missing</x:v>
      </x:c>
      <x:c r="M194" s="37" t="str">
        <x:v>alternative_profiles_present</x:v>
      </x:c>
      <x:c r="N194" s="37" t="str">
        <x:v>56</x:v>
      </x:c>
      <x:c r="O194" s="37" t="str"/>
      <x:c r="P194" s="37" t="str">
        <x:v>42</x:v>
      </x:c>
      <x:c r="Q194" s="37" t="str">
        <x:v>low</x:v>
      </x:c>
      <x:c r="R194" s="37" t="str">
        <x:v>review_required</x:v>
      </x:c>
      <x:c r="S194" s="37" t="str">
        <x:v>False</x:v>
      </x:c>
      <x:c r="T194" s="38" t="str">
        <x:v>Do not promote without scope review, exception review, and author-intent/baseline corroboration.</x:v>
      </x:c>
      <x:c r="U194" s="37" t="str">
        <x:v>62</x:v>
      </x:c>
      <x:c r="V194" s="37" t="str">
        <x:v>medium</x:v>
      </x:c>
      <x:c r="W194" s="37" t="str">
        <x:v>43</x:v>
      </x:c>
      <x:c r="X194" s="37" t="str">
        <x:v>low</x:v>
      </x:c>
      <x:c r="Y194" s="37" t="str">
        <x:v>43</x:v>
      </x:c>
      <x:c r="Z194" s="37" t="str">
        <x:v>low</x:v>
      </x:c>
      <x:c r="AA194" s="38" t="str">
        <x:v>alternative_profiles_present;baseline_incomplete</x:v>
      </x:c>
      <x:c r="AB194" s="37" t="str">
        <x:v>review_required</x:v>
      </x:c>
    </x:row>
    <x:row r="195">
      <x:c r="A195" s="37" t="str">
        <x:v>RC-0194</x:v>
      </x:c>
      <x:c r="B195" s="37" t="str">
        <x:v>spell_numeric</x:v>
      </x:c>
      <x:c r="C195" s="37" t="str">
        <x:v>observed_pattern</x:v>
      </x:c>
      <x:c r="D195" s="37" t="str">
        <x:v>repeated_implementation_profile</x:v>
      </x:c>
      <x:c r="E195" s="37" t="str">
        <x:v>Mysticism</x:v>
      </x:c>
      <x:c r="F195" s="37" t="str">
        <x:v>MysticismMagic.esp</x:v>
      </x:c>
      <x:c r="G195" s="37" t="str">
        <x:v>main</x:v>
      </x:c>
      <x:c r="H195" s="38" t="str">
        <x:v>Within MysticismMagic.esp, the spell_numeric implementation repeatedly uses: Destruction | skill 75 | Concentration | Aimed | Script; observed center: 101.0</x:v>
      </x:c>
      <x:c r="I195" s="37" t="str">
        <x:v>5</x:v>
      </x:c>
      <x:c r="J195" s="37" t="str">
        <x:v>observed_patterns:spell_numeric:Destruction | skill 75 | Concentration | Aimed | Script</x:v>
      </x:c>
      <x:c r="K195" s="37" t="str">
        <x:v>descriptive_frequency</x:v>
      </x:c>
      <x:c r="L195" s="37" t="str">
        <x:v>mixed_or_external_missing</x:v>
      </x:c>
      <x:c r="M195" s="37" t="str">
        <x:v>alternative_profiles_present</x:v>
      </x:c>
      <x:c r="N195" s="37" t="str">
        <x:v>56</x:v>
      </x:c>
      <x:c r="O195" s="37" t="str"/>
      <x:c r="P195" s="37" t="str">
        <x:v>42</x:v>
      </x:c>
      <x:c r="Q195" s="37" t="str">
        <x:v>low</x:v>
      </x:c>
      <x:c r="R195" s="37" t="str">
        <x:v>review_required</x:v>
      </x:c>
      <x:c r="S195" s="37" t="str">
        <x:v>False</x:v>
      </x:c>
      <x:c r="T195" s="38" t="str">
        <x:v>Do not promote without scope review, exception review, and author-intent/baseline corroboration.</x:v>
      </x:c>
      <x:c r="U195" s="37" t="str">
        <x:v>62</x:v>
      </x:c>
      <x:c r="V195" s="37" t="str">
        <x:v>medium</x:v>
      </x:c>
      <x:c r="W195" s="37" t="str">
        <x:v>43</x:v>
      </x:c>
      <x:c r="X195" s="37" t="str">
        <x:v>low</x:v>
      </x:c>
      <x:c r="Y195" s="37" t="str">
        <x:v>43</x:v>
      </x:c>
      <x:c r="Z195" s="37" t="str">
        <x:v>low</x:v>
      </x:c>
      <x:c r="AA195" s="38" t="str">
        <x:v>alternative_profiles_present;baseline_incomplete</x:v>
      </x:c>
      <x:c r="AB195" s="37" t="str">
        <x:v>review_required</x:v>
      </x:c>
    </x:row>
    <x:row r="196">
      <x:c r="A196" s="37" t="str">
        <x:v>RC-0195</x:v>
      </x:c>
      <x:c r="B196" s="37" t="str">
        <x:v>spell_numeric</x:v>
      </x:c>
      <x:c r="C196" s="37" t="str">
        <x:v>observed_pattern</x:v>
      </x:c>
      <x:c r="D196" s="37" t="str">
        <x:v>repeated_implementation_profile</x:v>
      </x:c>
      <x:c r="E196" s="37" t="str">
        <x:v>Mysticism</x:v>
      </x:c>
      <x:c r="F196" s="37" t="str">
        <x:v>MysticismMagic.esp</x:v>
      </x:c>
      <x:c r="G196" s="37" t="str">
        <x:v>main</x:v>
      </x:c>
      <x:c r="H196" s="38" t="str">
        <x:v>Within MysticismMagic.esp, the spell_numeric implementation repeatedly uses: Destruction | skill 75 | Fire and Forget | Aimed | Dual Value Modifier; observed center: 228.0</x:v>
      </x:c>
      <x:c r="I196" s="37" t="str">
        <x:v>11</x:v>
      </x:c>
      <x:c r="J196" s="37" t="str">
        <x:v>observed_patterns:spell_numeric:Destruction | skill 75 | Fire and Forget | Aimed | Dual Value Modifier</x:v>
      </x:c>
      <x:c r="K196" s="37" t="str">
        <x:v>descriptive_frequency</x:v>
      </x:c>
      <x:c r="L196" s="37" t="str">
        <x:v>mixed_or_external_missing</x:v>
      </x:c>
      <x:c r="M196" s="37" t="str">
        <x:v>alternative_profiles_present</x:v>
      </x:c>
      <x:c r="N196" s="37" t="str">
        <x:v>56</x:v>
      </x:c>
      <x:c r="O196" s="37" t="str"/>
      <x:c r="P196" s="37" t="str">
        <x:v>48</x:v>
      </x:c>
      <x:c r="Q196" s="37" t="str">
        <x:v>low</x:v>
      </x:c>
      <x:c r="R196" s="37" t="str">
        <x:v>review_required</x:v>
      </x:c>
      <x:c r="S196" s="37" t="str">
        <x:v>False</x:v>
      </x:c>
      <x:c r="T196" s="38" t="str">
        <x:v>Do not promote without scope review, exception review, and author-intent/baseline corroboration.</x:v>
      </x:c>
      <x:c r="U196" s="37" t="str">
        <x:v>70</x:v>
      </x:c>
      <x:c r="V196" s="37" t="str">
        <x:v>medium</x:v>
      </x:c>
      <x:c r="W196" s="37" t="str">
        <x:v>43</x:v>
      </x:c>
      <x:c r="X196" s="37" t="str">
        <x:v>low</x:v>
      </x:c>
      <x:c r="Y196" s="37" t="str">
        <x:v>48</x:v>
      </x:c>
      <x:c r="Z196" s="37" t="str">
        <x:v>low</x:v>
      </x:c>
      <x:c r="AA196" s="38" t="str">
        <x:v>alternative_profiles_present;baseline_incomplete</x:v>
      </x:c>
      <x:c r="AB196" s="37" t="str">
        <x:v>review_required</x:v>
      </x:c>
    </x:row>
    <x:row r="197">
      <x:c r="A197" s="37" t="str">
        <x:v>RC-0196</x:v>
      </x:c>
      <x:c r="B197" s="37" t="str">
        <x:v>spell_numeric</x:v>
      </x:c>
      <x:c r="C197" s="37" t="str">
        <x:v>observed_pattern</x:v>
      </x:c>
      <x:c r="D197" s="37" t="str">
        <x:v>repeated_implementation_profile</x:v>
      </x:c>
      <x:c r="E197" s="37" t="str">
        <x:v>Mysticism</x:v>
      </x:c>
      <x:c r="F197" s="37" t="str">
        <x:v>MysticismMagic.esp</x:v>
      </x:c>
      <x:c r="G197" s="37" t="str">
        <x:v>main</x:v>
      </x:c>
      <x:c r="H197" s="38" t="str">
        <x:v>Within MysticismMagic.esp, the spell_numeric implementation repeatedly uses: Destruction | skill 75 | Fire and Forget | Aimed | Value Modifier; observed center: 240.0</x:v>
      </x:c>
      <x:c r="I197" s="37" t="str">
        <x:v>7</x:v>
      </x:c>
      <x:c r="J197" s="37" t="str">
        <x:v>observed_patterns:spell_numeric:Destruction | skill 75 | Fire and Forget | Aimed | Value Modifier</x:v>
      </x:c>
      <x:c r="K197" s="37" t="str">
        <x:v>descriptive_frequency</x:v>
      </x:c>
      <x:c r="L197" s="37" t="str">
        <x:v>mixed_or_external_missing</x:v>
      </x:c>
      <x:c r="M197" s="37" t="str">
        <x:v>alternative_profiles_present</x:v>
      </x:c>
      <x:c r="N197" s="37" t="str">
        <x:v>56</x:v>
      </x:c>
      <x:c r="O197" s="37" t="str"/>
      <x:c r="P197" s="37" t="str">
        <x:v>42</x:v>
      </x:c>
      <x:c r="Q197" s="37" t="str">
        <x:v>low</x:v>
      </x:c>
      <x:c r="R197" s="37" t="str">
        <x:v>review_required</x:v>
      </x:c>
      <x:c r="S197" s="37" t="str">
        <x:v>False</x:v>
      </x:c>
      <x:c r="T197" s="38" t="str">
        <x:v>Do not promote without scope review, exception review, and author-intent/baseline corroboration.</x:v>
      </x:c>
      <x:c r="U197" s="37" t="str">
        <x:v>62</x:v>
      </x:c>
      <x:c r="V197" s="37" t="str">
        <x:v>medium</x:v>
      </x:c>
      <x:c r="W197" s="37" t="str">
        <x:v>43</x:v>
      </x:c>
      <x:c r="X197" s="37" t="str">
        <x:v>low</x:v>
      </x:c>
      <x:c r="Y197" s="37" t="str">
        <x:v>43</x:v>
      </x:c>
      <x:c r="Z197" s="37" t="str">
        <x:v>low</x:v>
      </x:c>
      <x:c r="AA197" s="38" t="str">
        <x:v>alternative_profiles_present;baseline_incomplete</x:v>
      </x:c>
      <x:c r="AB197" s="37" t="str">
        <x:v>review_required</x:v>
      </x:c>
    </x:row>
    <x:row r="198">
      <x:c r="A198" s="37" t="str">
        <x:v>RC-0197</x:v>
      </x:c>
      <x:c r="B198" s="37" t="str">
        <x:v>spell_numeric</x:v>
      </x:c>
      <x:c r="C198" s="37" t="str">
        <x:v>observed_pattern</x:v>
      </x:c>
      <x:c r="D198" s="37" t="str">
        <x:v>repeated_implementation_profile</x:v>
      </x:c>
      <x:c r="E198" s="37" t="str">
        <x:v>Mysticism</x:v>
      </x:c>
      <x:c r="F198" s="37" t="str">
        <x:v>MysticismMagic.esp</x:v>
      </x:c>
      <x:c r="G198" s="37" t="str">
        <x:v>main</x:v>
      </x:c>
      <x:c r="H198" s="38" t="str">
        <x:v>Within MysticismMagic.esp, the spell_numeric implementation repeatedly uses: Illusion | skill 100 | Fire and Forget | Self | Invisibility; observed center: 684.0</x:v>
      </x:c>
      <x:c r="I198" s="37" t="str">
        <x:v>3</x:v>
      </x:c>
      <x:c r="J198" s="37" t="str">
        <x:v>observed_patterns:spell_numeric:Illusion | skill 100 | Fire and Forget | Self | Invisibility</x:v>
      </x:c>
      <x:c r="K198" s="37" t="str">
        <x:v>descriptive_frequency</x:v>
      </x:c>
      <x:c r="L198" s="37" t="str">
        <x:v>mixed_or_external_missing</x:v>
      </x:c>
      <x:c r="M198" s="37" t="str">
        <x:v>alternative_profiles_present</x:v>
      </x:c>
      <x:c r="N198" s="37" t="str">
        <x:v>56</x:v>
      </x:c>
      <x:c r="O198" s="37" t="str"/>
      <x:c r="P198" s="37" t="str">
        <x:v>36</x:v>
      </x:c>
      <x:c r="Q198" s="37" t="str">
        <x:v>low</x:v>
      </x:c>
      <x:c r="R198" s="37" t="str">
        <x:v>review_required</x:v>
      </x:c>
      <x:c r="S198" s="37" t="str">
        <x:v>False</x:v>
      </x:c>
      <x:c r="T198" s="38" t="str">
        <x:v>Do not promote without scope review, exception review, and author-intent/baseline corroboration.</x:v>
      </x:c>
      <x:c r="U198" s="37" t="str">
        <x:v>55</x:v>
      </x:c>
      <x:c r="V198" s="37" t="str">
        <x:v>medium</x:v>
      </x:c>
      <x:c r="W198" s="37" t="str">
        <x:v>43</x:v>
      </x:c>
      <x:c r="X198" s="37" t="str">
        <x:v>low</x:v>
      </x:c>
      <x:c r="Y198" s="37" t="str">
        <x:v>40</x:v>
      </x:c>
      <x:c r="Z198" s="37" t="str">
        <x:v>low</x:v>
      </x:c>
      <x:c r="AA198" s="38" t="str">
        <x:v>alternative_profiles_present;baseline_incomplete</x:v>
      </x:c>
      <x:c r="AB198" s="37" t="str">
        <x:v>review_required</x:v>
      </x:c>
    </x:row>
    <x:row r="199">
      <x:c r="A199" s="37" t="str">
        <x:v>RC-0198</x:v>
      </x:c>
      <x:c r="B199" s="37" t="str">
        <x:v>spell_numeric</x:v>
      </x:c>
      <x:c r="C199" s="37" t="str">
        <x:v>observed_pattern</x:v>
      </x:c>
      <x:c r="D199" s="37" t="str">
        <x:v>repeated_implementation_profile</x:v>
      </x:c>
      <x:c r="E199" s="37" t="str">
        <x:v>Mysticism</x:v>
      </x:c>
      <x:c r="F199" s="37" t="str">
        <x:v>MysticismMagic.esp</x:v>
      </x:c>
      <x:c r="G199" s="37" t="str">
        <x:v>main</x:v>
      </x:c>
      <x:c r="H199" s="38" t="str">
        <x:v>Within MysticismMagic.esp, the spell_numeric implementation repeatedly uses: Illusion | skill 100 | Fire and Forget | Self | Rally; observed center: 904.5</x:v>
      </x:c>
      <x:c r="I199" s="37" t="str">
        <x:v>4</x:v>
      </x:c>
      <x:c r="J199" s="37" t="str">
        <x:v>observed_patterns:spell_numeric:Illusion | skill 100 | Fire and Forget | Self | Rally</x:v>
      </x:c>
      <x:c r="K199" s="37" t="str">
        <x:v>descriptive_frequency</x:v>
      </x:c>
      <x:c r="L199" s="37" t="str">
        <x:v>mixed_or_external_missing</x:v>
      </x:c>
      <x:c r="M199" s="37" t="str">
        <x:v>alternative_profiles_present</x:v>
      </x:c>
      <x:c r="N199" s="37" t="str">
        <x:v>56</x:v>
      </x:c>
      <x:c r="O199" s="37" t="str"/>
      <x:c r="P199" s="37" t="str">
        <x:v>36</x:v>
      </x:c>
      <x:c r="Q199" s="37" t="str">
        <x:v>low</x:v>
      </x:c>
      <x:c r="R199" s="37" t="str">
        <x:v>review_required</x:v>
      </x:c>
      <x:c r="S199" s="37" t="str">
        <x:v>False</x:v>
      </x:c>
      <x:c r="T199" s="38" t="str">
        <x:v>Do not promote without scope review, exception review, and author-intent/baseline corroboration.</x:v>
      </x:c>
      <x:c r="U199" s="37" t="str">
        <x:v>55</x:v>
      </x:c>
      <x:c r="V199" s="37" t="str">
        <x:v>medium</x:v>
      </x:c>
      <x:c r="W199" s="37" t="str">
        <x:v>43</x:v>
      </x:c>
      <x:c r="X199" s="37" t="str">
        <x:v>low</x:v>
      </x:c>
      <x:c r="Y199" s="37" t="str">
        <x:v>40</x:v>
      </x:c>
      <x:c r="Z199" s="37" t="str">
        <x:v>low</x:v>
      </x:c>
      <x:c r="AA199" s="38" t="str">
        <x:v>alternative_profiles_present;baseline_incomplete</x:v>
      </x:c>
      <x:c r="AB199" s="37" t="str">
        <x:v>review_required</x:v>
      </x:c>
    </x:row>
    <x:row r="200">
      <x:c r="A200" s="37" t="str">
        <x:v>RC-0199</x:v>
      </x:c>
      <x:c r="B200" s="37" t="str">
        <x:v>spell_numeric</x:v>
      </x:c>
      <x:c r="C200" s="37" t="str">
        <x:v>observed_pattern</x:v>
      </x:c>
      <x:c r="D200" s="37" t="str">
        <x:v>repeated_implementation_profile</x:v>
      </x:c>
      <x:c r="E200" s="37" t="str">
        <x:v>Mysticism</x:v>
      </x:c>
      <x:c r="F200" s="37" t="str">
        <x:v>MysticismMagic.esp</x:v>
      </x:c>
      <x:c r="G200" s="37" t="str">
        <x:v>main</x:v>
      </x:c>
      <x:c r="H200" s="38" t="str">
        <x:v>Within MysticismMagic.esp, the spell_numeric implementation repeatedly uses: Illusion | skill 50 | Fire and Forget | Aimed | Rally; observed center: 269.0</x:v>
      </x:c>
      <x:c r="I200" s="37" t="str">
        <x:v>3</x:v>
      </x:c>
      <x:c r="J200" s="37" t="str">
        <x:v>observed_patterns:spell_numeric:Illusion | skill 50 | Fire and Forget | Aimed | Rally</x:v>
      </x:c>
      <x:c r="K200" s="37" t="str">
        <x:v>descriptive_frequency</x:v>
      </x:c>
      <x:c r="L200" s="37" t="str">
        <x:v>mixed_or_external_missing</x:v>
      </x:c>
      <x:c r="M200" s="37" t="str">
        <x:v>alternative_profiles_present</x:v>
      </x:c>
      <x:c r="N200" s="37" t="str">
        <x:v>56</x:v>
      </x:c>
      <x:c r="O200" s="37" t="str"/>
      <x:c r="P200" s="37" t="str">
        <x:v>36</x:v>
      </x:c>
      <x:c r="Q200" s="37" t="str">
        <x:v>low</x:v>
      </x:c>
      <x:c r="R200" s="37" t="str">
        <x:v>review_required</x:v>
      </x:c>
      <x:c r="S200" s="37" t="str">
        <x:v>False</x:v>
      </x:c>
      <x:c r="T200" s="38" t="str">
        <x:v>Do not promote without scope review, exception review, and author-intent/baseline corroboration.</x:v>
      </x:c>
      <x:c r="U200" s="37" t="str">
        <x:v>55</x:v>
      </x:c>
      <x:c r="V200" s="37" t="str">
        <x:v>medium</x:v>
      </x:c>
      <x:c r="W200" s="37" t="str">
        <x:v>43</x:v>
      </x:c>
      <x:c r="X200" s="37" t="str">
        <x:v>low</x:v>
      </x:c>
      <x:c r="Y200" s="37" t="str">
        <x:v>40</x:v>
      </x:c>
      <x:c r="Z200" s="37" t="str">
        <x:v>low</x:v>
      </x:c>
      <x:c r="AA200" s="38" t="str">
        <x:v>alternative_profiles_present;baseline_incomplete</x:v>
      </x:c>
      <x:c r="AB200" s="37" t="str">
        <x:v>review_required</x:v>
      </x:c>
    </x:row>
    <x:row r="201">
      <x:c r="A201" s="37" t="str">
        <x:v>RC-0200</x:v>
      </x:c>
      <x:c r="B201" s="37" t="str">
        <x:v>spell_numeric</x:v>
      </x:c>
      <x:c r="C201" s="37" t="str">
        <x:v>observed_pattern</x:v>
      </x:c>
      <x:c r="D201" s="37" t="str">
        <x:v>repeated_implementation_profile</x:v>
      </x:c>
      <x:c r="E201" s="37" t="str">
        <x:v>Mysticism</x:v>
      </x:c>
      <x:c r="F201" s="37" t="str">
        <x:v>MysticismMagic.esp</x:v>
      </x:c>
      <x:c r="G201" s="37" t="str">
        <x:v>main</x:v>
      </x:c>
      <x:c r="H201" s="38" t="str">
        <x:v>Within MysticismMagic.esp, the spell_numeric implementation repeatedly uses: Illusion | skill 75 | Fire and Forget | Aimed | Rally; observed center: 448.0</x:v>
      </x:c>
      <x:c r="I201" s="37" t="str">
        <x:v>3</x:v>
      </x:c>
      <x:c r="J201" s="37" t="str">
        <x:v>observed_patterns:spell_numeric:Illusion | skill 75 | Fire and Forget | Aimed | Rally</x:v>
      </x:c>
      <x:c r="K201" s="37" t="str">
        <x:v>descriptive_frequency</x:v>
      </x:c>
      <x:c r="L201" s="37" t="str">
        <x:v>mixed_or_external_missing</x:v>
      </x:c>
      <x:c r="M201" s="37" t="str">
        <x:v>alternative_profiles_present</x:v>
      </x:c>
      <x:c r="N201" s="37" t="str">
        <x:v>56</x:v>
      </x:c>
      <x:c r="O201" s="37" t="str"/>
      <x:c r="P201" s="37" t="str">
        <x:v>36</x:v>
      </x:c>
      <x:c r="Q201" s="37" t="str">
        <x:v>low</x:v>
      </x:c>
      <x:c r="R201" s="37" t="str">
        <x:v>review_required</x:v>
      </x:c>
      <x:c r="S201" s="37" t="str">
        <x:v>False</x:v>
      </x:c>
      <x:c r="T201" s="38" t="str">
        <x:v>Do not promote without scope review, exception review, and author-intent/baseline corroboration.</x:v>
      </x:c>
      <x:c r="U201" s="37" t="str">
        <x:v>55</x:v>
      </x:c>
      <x:c r="V201" s="37" t="str">
        <x:v>medium</x:v>
      </x:c>
      <x:c r="W201" s="37" t="str">
        <x:v>43</x:v>
      </x:c>
      <x:c r="X201" s="37" t="str">
        <x:v>low</x:v>
      </x:c>
      <x:c r="Y201" s="37" t="str">
        <x:v>40</x:v>
      </x:c>
      <x:c r="Z201" s="37" t="str">
        <x:v>low</x:v>
      </x:c>
      <x:c r="AA201" s="38" t="str">
        <x:v>alternative_profiles_present;baseline_incomplete</x:v>
      </x:c>
      <x:c r="AB201" s="37" t="str">
        <x:v>review_required</x:v>
      </x:c>
    </x:row>
    <x:row r="202">
      <x:c r="A202" s="37" t="str">
        <x:v>RC-0201</x:v>
      </x:c>
      <x:c r="B202" s="37" t="str">
        <x:v>spell_numeric</x:v>
      </x:c>
      <x:c r="C202" s="37" t="str">
        <x:v>observed_pattern</x:v>
      </x:c>
      <x:c r="D202" s="37" t="str">
        <x:v>repeated_implementation_profile</x:v>
      </x:c>
      <x:c r="E202" s="37" t="str">
        <x:v>Mysticism</x:v>
      </x:c>
      <x:c r="F202" s="37" t="str">
        <x:v>MysticismMagic.esp</x:v>
      </x:c>
      <x:c r="G202" s="37" t="str">
        <x:v>main</x:v>
      </x:c>
      <x:c r="H202" s="38" t="str">
        <x:v>Within MysticismMagic.esp, the spell_numeric implementation repeatedly uses: Illusion | skill 75 | Fire and Forget | Target Location | Script; observed center: 447.0</x:v>
      </x:c>
      <x:c r="I202" s="37" t="str">
        <x:v>6</x:v>
      </x:c>
      <x:c r="J202" s="37" t="str">
        <x:v>observed_patterns:spell_numeric:Illusion | skill 75 | Fire and Forget | Target Location | Script</x:v>
      </x:c>
      <x:c r="K202" s="37" t="str">
        <x:v>descriptive_frequency</x:v>
      </x:c>
      <x:c r="L202" s="37" t="str">
        <x:v>mixed_or_external_missing</x:v>
      </x:c>
      <x:c r="M202" s="37" t="str">
        <x:v>alternative_profiles_present</x:v>
      </x:c>
      <x:c r="N202" s="37" t="str">
        <x:v>56</x:v>
      </x:c>
      <x:c r="O202" s="37" t="str"/>
      <x:c r="P202" s="37" t="str">
        <x:v>42</x:v>
      </x:c>
      <x:c r="Q202" s="37" t="str">
        <x:v>low</x:v>
      </x:c>
      <x:c r="R202" s="37" t="str">
        <x:v>review_required</x:v>
      </x:c>
      <x:c r="S202" s="37" t="str">
        <x:v>False</x:v>
      </x:c>
      <x:c r="T202" s="38" t="str">
        <x:v>Do not promote without scope review, exception review, and author-intent/baseline corroboration.</x:v>
      </x:c>
      <x:c r="U202" s="37" t="str">
        <x:v>62</x:v>
      </x:c>
      <x:c r="V202" s="37" t="str">
        <x:v>medium</x:v>
      </x:c>
      <x:c r="W202" s="37" t="str">
        <x:v>43</x:v>
      </x:c>
      <x:c r="X202" s="37" t="str">
        <x:v>low</x:v>
      </x:c>
      <x:c r="Y202" s="37" t="str">
        <x:v>43</x:v>
      </x:c>
      <x:c r="Z202" s="37" t="str">
        <x:v>low</x:v>
      </x:c>
      <x:c r="AA202" s="38" t="str">
        <x:v>alternative_profiles_present;baseline_incomplete</x:v>
      </x:c>
      <x:c r="AB202" s="37" t="str">
        <x:v>review_required</x:v>
      </x:c>
    </x:row>
    <x:row r="203">
      <x:c r="A203" s="37" t="str">
        <x:v>RC-0202</x:v>
      </x:c>
      <x:c r="B203" s="37" t="str">
        <x:v>spell_numeric</x:v>
      </x:c>
      <x:c r="C203" s="37" t="str">
        <x:v>observed_pattern</x:v>
      </x:c>
      <x:c r="D203" s="37" t="str">
        <x:v>repeated_implementation_profile</x:v>
      </x:c>
      <x:c r="E203" s="37" t="str">
        <x:v>Mysticism</x:v>
      </x:c>
      <x:c r="F203" s="37" t="str">
        <x:v>MysticismMagic.esp</x:v>
      </x:c>
      <x:c r="G203" s="37" t="str">
        <x:v>main</x:v>
      </x:c>
      <x:c r="H203" s="38" t="str">
        <x:v>Within MysticismMagic.esp, the spell_numeric implementation repeatedly uses: None | skill 0 | Constant Effect | Self | Peak Value Modifier; observed center: 0.0</x:v>
      </x:c>
      <x:c r="I203" s="37" t="str">
        <x:v>3</x:v>
      </x:c>
      <x:c r="J203" s="37" t="str">
        <x:v>observed_patterns:spell_numeric:None | skill 0 | Constant Effect | Self | Peak Value Modifier</x:v>
      </x:c>
      <x:c r="K203" s="37" t="str">
        <x:v>descriptive_frequency</x:v>
      </x:c>
      <x:c r="L203" s="37" t="str">
        <x:v>mixed_or_external_missing</x:v>
      </x:c>
      <x:c r="M203" s="37" t="str">
        <x:v>alternative_profiles_present</x:v>
      </x:c>
      <x:c r="N203" s="37" t="str">
        <x:v>56</x:v>
      </x:c>
      <x:c r="O203" s="37" t="str"/>
      <x:c r="P203" s="37" t="str">
        <x:v>36</x:v>
      </x:c>
      <x:c r="Q203" s="37" t="str">
        <x:v>low</x:v>
      </x:c>
      <x:c r="R203" s="37" t="str">
        <x:v>review_required</x:v>
      </x:c>
      <x:c r="S203" s="37" t="str">
        <x:v>False</x:v>
      </x:c>
      <x:c r="T203" s="38" t="str">
        <x:v>Do not promote without scope review, exception review, and author-intent/baseline corroboration.</x:v>
      </x:c>
      <x:c r="U203" s="37" t="str">
        <x:v>55</x:v>
      </x:c>
      <x:c r="V203" s="37" t="str">
        <x:v>medium</x:v>
      </x:c>
      <x:c r="W203" s="37" t="str">
        <x:v>43</x:v>
      </x:c>
      <x:c r="X203" s="37" t="str">
        <x:v>low</x:v>
      </x:c>
      <x:c r="Y203" s="37" t="str">
        <x:v>40</x:v>
      </x:c>
      <x:c r="Z203" s="37" t="str">
        <x:v>low</x:v>
      </x:c>
      <x:c r="AA203" s="38" t="str">
        <x:v>alternative_profiles_present;baseline_incomplete</x:v>
      </x:c>
      <x:c r="AB203" s="37" t="str">
        <x:v>review_required</x:v>
      </x:c>
    </x:row>
    <x:row r="204">
      <x:c r="A204" s="37" t="str">
        <x:v>RC-0203</x:v>
      </x:c>
      <x:c r="B204" s="37" t="str">
        <x:v>spell_numeric</x:v>
      </x:c>
      <x:c r="C204" s="37" t="str">
        <x:v>observed_pattern</x:v>
      </x:c>
      <x:c r="D204" s="37" t="str">
        <x:v>repeated_implementation_profile</x:v>
      </x:c>
      <x:c r="E204" s="37" t="str">
        <x:v>Mysticism</x:v>
      </x:c>
      <x:c r="F204" s="37" t="str">
        <x:v>MysticismMagic.esp</x:v>
      </x:c>
      <x:c r="G204" s="37" t="str">
        <x:v>main</x:v>
      </x:c>
      <x:c r="H204" s="38" t="str">
        <x:v>Within MysticismMagic.esp, the spell_numeric implementation repeatedly uses: None | skill 0 | Constant Effect | Self | Script; observed center: 0.0</x:v>
      </x:c>
      <x:c r="I204" s="37" t="str">
        <x:v>6</x:v>
      </x:c>
      <x:c r="J204" s="37" t="str">
        <x:v>observed_patterns:spell_numeric:None | skill 0 | Constant Effect | Self | Script</x:v>
      </x:c>
      <x:c r="K204" s="37" t="str">
        <x:v>descriptive_frequency</x:v>
      </x:c>
      <x:c r="L204" s="37" t="str">
        <x:v>mixed_or_external_missing</x:v>
      </x:c>
      <x:c r="M204" s="37" t="str">
        <x:v>alternative_profiles_present</x:v>
      </x:c>
      <x:c r="N204" s="37" t="str">
        <x:v>56</x:v>
      </x:c>
      <x:c r="O204" s="37" t="str"/>
      <x:c r="P204" s="37" t="str">
        <x:v>42</x:v>
      </x:c>
      <x:c r="Q204" s="37" t="str">
        <x:v>low</x:v>
      </x:c>
      <x:c r="R204" s="37" t="str">
        <x:v>review_required</x:v>
      </x:c>
      <x:c r="S204" s="37" t="str">
        <x:v>False</x:v>
      </x:c>
      <x:c r="T204" s="38" t="str">
        <x:v>Do not promote without scope review, exception review, and author-intent/baseline corroboration.</x:v>
      </x:c>
      <x:c r="U204" s="37" t="str">
        <x:v>62</x:v>
      </x:c>
      <x:c r="V204" s="37" t="str">
        <x:v>medium</x:v>
      </x:c>
      <x:c r="W204" s="37" t="str">
        <x:v>43</x:v>
      </x:c>
      <x:c r="X204" s="37" t="str">
        <x:v>low</x:v>
      </x:c>
      <x:c r="Y204" s="37" t="str">
        <x:v>43</x:v>
      </x:c>
      <x:c r="Z204" s="37" t="str">
        <x:v>low</x:v>
      </x:c>
      <x:c r="AA204" s="38" t="str">
        <x:v>alternative_profiles_present;baseline_incomplete</x:v>
      </x:c>
      <x:c r="AB204" s="37" t="str">
        <x:v>review_required</x:v>
      </x:c>
    </x:row>
    <x:row r="205">
      <x:c r="A205" s="37" t="str">
        <x:v>RC-0204</x:v>
      </x:c>
      <x:c r="B205" s="37" t="str">
        <x:v>spell_numeric</x:v>
      </x:c>
      <x:c r="C205" s="37" t="str">
        <x:v>observed_pattern</x:v>
      </x:c>
      <x:c r="D205" s="37" t="str">
        <x:v>repeated_implementation_profile</x:v>
      </x:c>
      <x:c r="E205" s="37" t="str">
        <x:v>Mysticism</x:v>
      </x:c>
      <x:c r="F205" s="37" t="str">
        <x:v>MysticismMagic.esp</x:v>
      </x:c>
      <x:c r="G205" s="37" t="str">
        <x:v>main</x:v>
      </x:c>
      <x:c r="H205" s="38" t="str">
        <x:v>Within MysticismMagic.esp, the spell_numeric implementation repeatedly uses: None | skill 0 | Fire and Forget | Self | Script; observed center: 0.0</x:v>
      </x:c>
      <x:c r="I205" s="37" t="str">
        <x:v>4</x:v>
      </x:c>
      <x:c r="J205" s="37" t="str">
        <x:v>observed_patterns:spell_numeric:None | skill 0 | Fire and Forget | Self | Script</x:v>
      </x:c>
      <x:c r="K205" s="37" t="str">
        <x:v>descriptive_frequency</x:v>
      </x:c>
      <x:c r="L205" s="37" t="str">
        <x:v>mixed_or_external_missing</x:v>
      </x:c>
      <x:c r="M205" s="37" t="str">
        <x:v>alternative_profiles_present</x:v>
      </x:c>
      <x:c r="N205" s="37" t="str">
        <x:v>56</x:v>
      </x:c>
      <x:c r="O205" s="37" t="str"/>
      <x:c r="P205" s="37" t="str">
        <x:v>36</x:v>
      </x:c>
      <x:c r="Q205" s="37" t="str">
        <x:v>low</x:v>
      </x:c>
      <x:c r="R205" s="37" t="str">
        <x:v>review_required</x:v>
      </x:c>
      <x:c r="S205" s="37" t="str">
        <x:v>False</x:v>
      </x:c>
      <x:c r="T205" s="38" t="str">
        <x:v>Do not promote without scope review, exception review, and author-intent/baseline corroboration.</x:v>
      </x:c>
      <x:c r="U205" s="37" t="str">
        <x:v>55</x:v>
      </x:c>
      <x:c r="V205" s="37" t="str">
        <x:v>medium</x:v>
      </x:c>
      <x:c r="W205" s="37" t="str">
        <x:v>43</x:v>
      </x:c>
      <x:c r="X205" s="37" t="str">
        <x:v>low</x:v>
      </x:c>
      <x:c r="Y205" s="37" t="str">
        <x:v>40</x:v>
      </x:c>
      <x:c r="Z205" s="37" t="str">
        <x:v>low</x:v>
      </x:c>
      <x:c r="AA205" s="38" t="str">
        <x:v>alternative_profiles_present;baseline_incomplete</x:v>
      </x:c>
      <x:c r="AB205" s="37" t="str">
        <x:v>review_required</x:v>
      </x:c>
    </x:row>
    <x:row r="206">
      <x:c r="A206" s="37" t="str">
        <x:v>RC-0205</x:v>
      </x:c>
      <x:c r="B206" s="37" t="str">
        <x:v>spell_numeric</x:v>
      </x:c>
      <x:c r="C206" s="37" t="str">
        <x:v>observed_pattern</x:v>
      </x:c>
      <x:c r="D206" s="37" t="str">
        <x:v>repeated_implementation_profile</x:v>
      </x:c>
      <x:c r="E206" s="37" t="str">
        <x:v>Mysticism</x:v>
      </x:c>
      <x:c r="F206" s="37" t="str">
        <x:v>MysticismMagic.esp</x:v>
      </x:c>
      <x:c r="G206" s="37" t="str">
        <x:v>main</x:v>
      </x:c>
      <x:c r="H206" s="38" t="str">
        <x:v>Within MysticismMagic.esp, the spell_numeric implementation repeatedly uses: Restoration | skill 0 | Concentration | Aimed | Value Modifier; observed center: 12.5</x:v>
      </x:c>
      <x:c r="I206" s="37" t="str">
        <x:v>4</x:v>
      </x:c>
      <x:c r="J206" s="37" t="str">
        <x:v>observed_patterns:spell_numeric:Restoration | skill 0 | Concentration | Aimed | Value Modifier</x:v>
      </x:c>
      <x:c r="K206" s="37" t="str">
        <x:v>descriptive_frequency</x:v>
      </x:c>
      <x:c r="L206" s="37" t="str">
        <x:v>mixed_or_external_missing</x:v>
      </x:c>
      <x:c r="M206" s="37" t="str">
        <x:v>alternative_profiles_present</x:v>
      </x:c>
      <x:c r="N206" s="37" t="str">
        <x:v>56</x:v>
      </x:c>
      <x:c r="O206" s="37" t="str"/>
      <x:c r="P206" s="37" t="str">
        <x:v>36</x:v>
      </x:c>
      <x:c r="Q206" s="37" t="str">
        <x:v>low</x:v>
      </x:c>
      <x:c r="R206" s="37" t="str">
        <x:v>review_required</x:v>
      </x:c>
      <x:c r="S206" s="37" t="str">
        <x:v>False</x:v>
      </x:c>
      <x:c r="T206" s="38" t="str">
        <x:v>Do not promote without scope review, exception review, and author-intent/baseline corroboration.</x:v>
      </x:c>
      <x:c r="U206" s="37" t="str">
        <x:v>55</x:v>
      </x:c>
      <x:c r="V206" s="37" t="str">
        <x:v>medium</x:v>
      </x:c>
      <x:c r="W206" s="37" t="str">
        <x:v>43</x:v>
      </x:c>
      <x:c r="X206" s="37" t="str">
        <x:v>low</x:v>
      </x:c>
      <x:c r="Y206" s="37" t="str">
        <x:v>40</x:v>
      </x:c>
      <x:c r="Z206" s="37" t="str">
        <x:v>low</x:v>
      </x:c>
      <x:c r="AA206" s="38" t="str">
        <x:v>alternative_profiles_present;baseline_incomplete</x:v>
      </x:c>
      <x:c r="AB206" s="37" t="str">
        <x:v>review_required</x:v>
      </x:c>
    </x:row>
    <x:row r="207">
      <x:c r="A207" s="37" t="str">
        <x:v>RC-0206</x:v>
      </x:c>
      <x:c r="B207" s="37" t="str">
        <x:v>spell_numeric</x:v>
      </x:c>
      <x:c r="C207" s="37" t="str">
        <x:v>observed_pattern</x:v>
      </x:c>
      <x:c r="D207" s="37" t="str">
        <x:v>repeated_implementation_profile</x:v>
      </x:c>
      <x:c r="E207" s="37" t="str">
        <x:v>Mysticism</x:v>
      </x:c>
      <x:c r="F207" s="37" t="str">
        <x:v>MysticismMagic.esp</x:v>
      </x:c>
      <x:c r="G207" s="37" t="str">
        <x:v>main</x:v>
      </x:c>
      <x:c r="H207" s="38" t="str">
        <x:v>Within MysticismMagic.esp, the spell_numeric implementation repeatedly uses: Restoration | skill 0 | Concentration | Self | Value Modifier; observed center: 20.0</x:v>
      </x:c>
      <x:c r="I207" s="37" t="str">
        <x:v>3</x:v>
      </x:c>
      <x:c r="J207" s="37" t="str">
        <x:v>observed_patterns:spell_numeric:Restoration | skill 0 | Concentration | Self | Value Modifier</x:v>
      </x:c>
      <x:c r="K207" s="37" t="str">
        <x:v>descriptive_frequency</x:v>
      </x:c>
      <x:c r="L207" s="37" t="str">
        <x:v>mixed_or_external_missing</x:v>
      </x:c>
      <x:c r="M207" s="37" t="str">
        <x:v>alternative_profiles_present</x:v>
      </x:c>
      <x:c r="N207" s="37" t="str">
        <x:v>56</x:v>
      </x:c>
      <x:c r="O207" s="37" t="str"/>
      <x:c r="P207" s="37" t="str">
        <x:v>36</x:v>
      </x:c>
      <x:c r="Q207" s="37" t="str">
        <x:v>low</x:v>
      </x:c>
      <x:c r="R207" s="37" t="str">
        <x:v>review_required</x:v>
      </x:c>
      <x:c r="S207" s="37" t="str">
        <x:v>False</x:v>
      </x:c>
      <x:c r="T207" s="38" t="str">
        <x:v>Do not promote without scope review, exception review, and author-intent/baseline corroboration.</x:v>
      </x:c>
      <x:c r="U207" s="37" t="str">
        <x:v>55</x:v>
      </x:c>
      <x:c r="V207" s="37" t="str">
        <x:v>medium</x:v>
      </x:c>
      <x:c r="W207" s="37" t="str">
        <x:v>43</x:v>
      </x:c>
      <x:c r="X207" s="37" t="str">
        <x:v>low</x:v>
      </x:c>
      <x:c r="Y207" s="37" t="str">
        <x:v>40</x:v>
      </x:c>
      <x:c r="Z207" s="37" t="str">
        <x:v>low</x:v>
      </x:c>
      <x:c r="AA207" s="38" t="str">
        <x:v>alternative_profiles_present;baseline_incomplete</x:v>
      </x:c>
      <x:c r="AB207" s="37" t="str">
        <x:v>review_required</x:v>
      </x:c>
    </x:row>
    <x:row r="208">
      <x:c r="A208" s="37" t="str">
        <x:v>RC-0207</x:v>
      </x:c>
      <x:c r="B208" s="37" t="str">
        <x:v>spell_numeric</x:v>
      </x:c>
      <x:c r="C208" s="37" t="str">
        <x:v>observed_pattern</x:v>
      </x:c>
      <x:c r="D208" s="37" t="str">
        <x:v>repeated_implementation_profile</x:v>
      </x:c>
      <x:c r="E208" s="37" t="str">
        <x:v>Mysticism</x:v>
      </x:c>
      <x:c r="F208" s="37" t="str">
        <x:v>MysticismMagic.esp</x:v>
      </x:c>
      <x:c r="G208" s="37" t="str">
        <x:v>main</x:v>
      </x:c>
      <x:c r="H208" s="38" t="str">
        <x:v>Within MysticismMagic.esp, the spell_numeric implementation repeatedly uses: Restoration | skill 0 | Fire and Forget | Touch | Peak Value Modifier; observed center: 0.5</x:v>
      </x:c>
      <x:c r="I208" s="37" t="str">
        <x:v>4</x:v>
      </x:c>
      <x:c r="J208" s="37" t="str">
        <x:v>observed_patterns:spell_numeric:Restoration | skill 0 | Fire and Forget | Touch | Peak Value Modifier</x:v>
      </x:c>
      <x:c r="K208" s="37" t="str">
        <x:v>descriptive_frequency</x:v>
      </x:c>
      <x:c r="L208" s="37" t="str">
        <x:v>mixed_or_external_missing</x:v>
      </x:c>
      <x:c r="M208" s="37" t="str">
        <x:v>alternative_profiles_present</x:v>
      </x:c>
      <x:c r="N208" s="37" t="str">
        <x:v>56</x:v>
      </x:c>
      <x:c r="O208" s="37" t="str"/>
      <x:c r="P208" s="37" t="str">
        <x:v>36</x:v>
      </x:c>
      <x:c r="Q208" s="37" t="str">
        <x:v>low</x:v>
      </x:c>
      <x:c r="R208" s="37" t="str">
        <x:v>review_required</x:v>
      </x:c>
      <x:c r="S208" s="37" t="str">
        <x:v>False</x:v>
      </x:c>
      <x:c r="T208" s="38" t="str">
        <x:v>Do not promote without scope review, exception review, and author-intent/baseline corroboration.</x:v>
      </x:c>
      <x:c r="U208" s="37" t="str">
        <x:v>55</x:v>
      </x:c>
      <x:c r="V208" s="37" t="str">
        <x:v>medium</x:v>
      </x:c>
      <x:c r="W208" s="37" t="str">
        <x:v>43</x:v>
      </x:c>
      <x:c r="X208" s="37" t="str">
        <x:v>low</x:v>
      </x:c>
      <x:c r="Y208" s="37" t="str">
        <x:v>40</x:v>
      </x:c>
      <x:c r="Z208" s="37" t="str">
        <x:v>low</x:v>
      </x:c>
      <x:c r="AA208" s="38" t="str">
        <x:v>alternative_profiles_present;baseline_incomplete</x:v>
      </x:c>
      <x:c r="AB208" s="37" t="str">
        <x:v>review_required</x:v>
      </x:c>
    </x:row>
    <x:row r="209">
      <x:c r="A209" s="37" t="str">
        <x:v>RC-0208</x:v>
      </x:c>
      <x:c r="B209" s="37" t="str">
        <x:v>spell_numeric</x:v>
      </x:c>
      <x:c r="C209" s="37" t="str">
        <x:v>observed_pattern</x:v>
      </x:c>
      <x:c r="D209" s="37" t="str">
        <x:v>repeated_implementation_profile</x:v>
      </x:c>
      <x:c r="E209" s="37" t="str">
        <x:v>Mysticism</x:v>
      </x:c>
      <x:c r="F209" s="37" t="str">
        <x:v>MysticismMagic.esp</x:v>
      </x:c>
      <x:c r="G209" s="37" t="str">
        <x:v>main</x:v>
      </x:c>
      <x:c r="H209" s="38" t="str">
        <x:v>Within MysticismMagic.esp, the spell_numeric implementation repeatedly uses: Restoration | skill 0 | Fire and Forget | Touch | Value Modifier; observed center: 39.0</x:v>
      </x:c>
      <x:c r="I209" s="37" t="str">
        <x:v>4</x:v>
      </x:c>
      <x:c r="J209" s="37" t="str">
        <x:v>observed_patterns:spell_numeric:Restoration | skill 0 | Fire and Forget | Touch | Value Modifier</x:v>
      </x:c>
      <x:c r="K209" s="37" t="str">
        <x:v>descriptive_frequency</x:v>
      </x:c>
      <x:c r="L209" s="37" t="str">
        <x:v>mixed_or_external_missing</x:v>
      </x:c>
      <x:c r="M209" s="37" t="str">
        <x:v>alternative_profiles_present</x:v>
      </x:c>
      <x:c r="N209" s="37" t="str">
        <x:v>56</x:v>
      </x:c>
      <x:c r="O209" s="37" t="str"/>
      <x:c r="P209" s="37" t="str">
        <x:v>36</x:v>
      </x:c>
      <x:c r="Q209" s="37" t="str">
        <x:v>low</x:v>
      </x:c>
      <x:c r="R209" s="37" t="str">
        <x:v>review_required</x:v>
      </x:c>
      <x:c r="S209" s="37" t="str">
        <x:v>False</x:v>
      </x:c>
      <x:c r="T209" s="38" t="str">
        <x:v>Do not promote without scope review, exception review, and author-intent/baseline corroboration.</x:v>
      </x:c>
      <x:c r="U209" s="37" t="str">
        <x:v>55</x:v>
      </x:c>
      <x:c r="V209" s="37" t="str">
        <x:v>medium</x:v>
      </x:c>
      <x:c r="W209" s="37" t="str">
        <x:v>43</x:v>
      </x:c>
      <x:c r="X209" s="37" t="str">
        <x:v>low</x:v>
      </x:c>
      <x:c r="Y209" s="37" t="str">
        <x:v>40</x:v>
      </x:c>
      <x:c r="Z209" s="37" t="str">
        <x:v>low</x:v>
      </x:c>
      <x:c r="AA209" s="38" t="str">
        <x:v>alternative_profiles_present;baseline_incomplete</x:v>
      </x:c>
      <x:c r="AB209" s="37" t="str">
        <x:v>review_required</x:v>
      </x:c>
    </x:row>
    <x:row r="210">
      <x:c r="A210" s="37" t="str">
        <x:v>RC-0209</x:v>
      </x:c>
      <x:c r="B210" s="37" t="str">
        <x:v>spell_numeric</x:v>
      </x:c>
      <x:c r="C210" s="37" t="str">
        <x:v>observed_pattern</x:v>
      </x:c>
      <x:c r="D210" s="37" t="str">
        <x:v>repeated_implementation_profile</x:v>
      </x:c>
      <x:c r="E210" s="37" t="str">
        <x:v>Mysticism</x:v>
      </x:c>
      <x:c r="F210" s="37" t="str">
        <x:v>MysticismMagic.esp</x:v>
      </x:c>
      <x:c r="G210" s="37" t="str">
        <x:v>main</x:v>
      </x:c>
      <x:c r="H210" s="38" t="str">
        <x:v>Within MysticismMagic.esp, the spell_numeric implementation repeatedly uses: Restoration | skill 100 | Fire and Forget | Aimed | Value Modifier; observed center: 405.0</x:v>
      </x:c>
      <x:c r="I210" s="37" t="str">
        <x:v>4</x:v>
      </x:c>
      <x:c r="J210" s="37" t="str">
        <x:v>observed_patterns:spell_numeric:Restoration | skill 100 | Fire and Forget | Aimed | Value Modifier</x:v>
      </x:c>
      <x:c r="K210" s="37" t="str">
        <x:v>descriptive_frequency</x:v>
      </x:c>
      <x:c r="L210" s="37" t="str">
        <x:v>mixed_or_external_missing</x:v>
      </x:c>
      <x:c r="M210" s="37" t="str">
        <x:v>alternative_profiles_present</x:v>
      </x:c>
      <x:c r="N210" s="37" t="str">
        <x:v>56</x:v>
      </x:c>
      <x:c r="O210" s="37" t="str"/>
      <x:c r="P210" s="37" t="str">
        <x:v>36</x:v>
      </x:c>
      <x:c r="Q210" s="37" t="str">
        <x:v>low</x:v>
      </x:c>
      <x:c r="R210" s="37" t="str">
        <x:v>review_required</x:v>
      </x:c>
      <x:c r="S210" s="37" t="str">
        <x:v>False</x:v>
      </x:c>
      <x:c r="T210" s="38" t="str">
        <x:v>Do not promote without scope review, exception review, and author-intent/baseline corroboration.</x:v>
      </x:c>
      <x:c r="U210" s="37" t="str">
        <x:v>55</x:v>
      </x:c>
      <x:c r="V210" s="37" t="str">
        <x:v>medium</x:v>
      </x:c>
      <x:c r="W210" s="37" t="str">
        <x:v>43</x:v>
      </x:c>
      <x:c r="X210" s="37" t="str">
        <x:v>low</x:v>
      </x:c>
      <x:c r="Y210" s="37" t="str">
        <x:v>40</x:v>
      </x:c>
      <x:c r="Z210" s="37" t="str">
        <x:v>low</x:v>
      </x:c>
      <x:c r="AA210" s="38" t="str">
        <x:v>alternative_profiles_present;baseline_incomplete</x:v>
      </x:c>
      <x:c r="AB210" s="37" t="str">
        <x:v>review_required</x:v>
      </x:c>
    </x:row>
    <x:row r="211">
      <x:c r="A211" s="37" t="str">
        <x:v>RC-0210</x:v>
      </x:c>
      <x:c r="B211" s="37" t="str">
        <x:v>spell_numeric</x:v>
      </x:c>
      <x:c r="C211" s="37" t="str">
        <x:v>observed_pattern</x:v>
      </x:c>
      <x:c r="D211" s="37" t="str">
        <x:v>repeated_implementation_profile</x:v>
      </x:c>
      <x:c r="E211" s="37" t="str">
        <x:v>Mysticism</x:v>
      </x:c>
      <x:c r="F211" s="37" t="str">
        <x:v>MysticismMagic.esp</x:v>
      </x:c>
      <x:c r="G211" s="37" t="str">
        <x:v>main</x:v>
      </x:c>
      <x:c r="H211" s="38" t="str">
        <x:v>Within MysticismMagic.esp, the spell_numeric implementation repeatedly uses: Restoration | skill 100 | Fire and Forget | Self | Script; observed center: 651.0</x:v>
      </x:c>
      <x:c r="I211" s="37" t="str">
        <x:v>6</x:v>
      </x:c>
      <x:c r="J211" s="37" t="str">
        <x:v>observed_patterns:spell_numeric:Restoration | skill 100 | Fire and Forget | Self | Script</x:v>
      </x:c>
      <x:c r="K211" s="37" t="str">
        <x:v>descriptive_frequency</x:v>
      </x:c>
      <x:c r="L211" s="37" t="str">
        <x:v>mixed_or_external_missing</x:v>
      </x:c>
      <x:c r="M211" s="37" t="str">
        <x:v>alternative_profiles_present</x:v>
      </x:c>
      <x:c r="N211" s="37" t="str">
        <x:v>56</x:v>
      </x:c>
      <x:c r="O211" s="37" t="str"/>
      <x:c r="P211" s="37" t="str">
        <x:v>42</x:v>
      </x:c>
      <x:c r="Q211" s="37" t="str">
        <x:v>low</x:v>
      </x:c>
      <x:c r="R211" s="37" t="str">
        <x:v>review_required</x:v>
      </x:c>
      <x:c r="S211" s="37" t="str">
        <x:v>False</x:v>
      </x:c>
      <x:c r="T211" s="38" t="str">
        <x:v>Do not promote without scope review, exception review, and author-intent/baseline corroboration.</x:v>
      </x:c>
      <x:c r="U211" s="37" t="str">
        <x:v>62</x:v>
      </x:c>
      <x:c r="V211" s="37" t="str">
        <x:v>medium</x:v>
      </x:c>
      <x:c r="W211" s="37" t="str">
        <x:v>43</x:v>
      </x:c>
      <x:c r="X211" s="37" t="str">
        <x:v>low</x:v>
      </x:c>
      <x:c r="Y211" s="37" t="str">
        <x:v>43</x:v>
      </x:c>
      <x:c r="Z211" s="37" t="str">
        <x:v>low</x:v>
      </x:c>
      <x:c r="AA211" s="38" t="str">
        <x:v>alternative_profiles_present;baseline_incomplete</x:v>
      </x:c>
      <x:c r="AB211" s="37" t="str">
        <x:v>review_required</x:v>
      </x:c>
    </x:row>
    <x:row r="212">
      <x:c r="A212" s="37" t="str">
        <x:v>RC-0211</x:v>
      </x:c>
      <x:c r="B212" s="37" t="str">
        <x:v>spell_numeric</x:v>
      </x:c>
      <x:c r="C212" s="37" t="str">
        <x:v>observed_pattern</x:v>
      </x:c>
      <x:c r="D212" s="37" t="str">
        <x:v>repeated_implementation_profile</x:v>
      </x:c>
      <x:c r="E212" s="37" t="str">
        <x:v>Mysticism</x:v>
      </x:c>
      <x:c r="F212" s="37" t="str">
        <x:v>MysticismMagic.esp</x:v>
      </x:c>
      <x:c r="G212" s="37" t="str">
        <x:v>main</x:v>
      </x:c>
      <x:c r="H212" s="38" t="str">
        <x:v>Within MysticismMagic.esp, the spell_numeric implementation repeatedly uses: Restoration | skill 25 | Fire and Forget | Aimed | Turn Undead; observed center: 138.0</x:v>
      </x:c>
      <x:c r="I212" s="37" t="str">
        <x:v>3</x:v>
      </x:c>
      <x:c r="J212" s="37" t="str">
        <x:v>observed_patterns:spell_numeric:Restoration | skill 25 | Fire and Forget | Aimed | Turn Undead</x:v>
      </x:c>
      <x:c r="K212" s="37" t="str">
        <x:v>descriptive_frequency</x:v>
      </x:c>
      <x:c r="L212" s="37" t="str">
        <x:v>mixed_or_external_missing</x:v>
      </x:c>
      <x:c r="M212" s="37" t="str">
        <x:v>alternative_profiles_present</x:v>
      </x:c>
      <x:c r="N212" s="37" t="str">
        <x:v>56</x:v>
      </x:c>
      <x:c r="O212" s="37" t="str"/>
      <x:c r="P212" s="37" t="str">
        <x:v>36</x:v>
      </x:c>
      <x:c r="Q212" s="37" t="str">
        <x:v>low</x:v>
      </x:c>
      <x:c r="R212" s="37" t="str">
        <x:v>review_required</x:v>
      </x:c>
      <x:c r="S212" s="37" t="str">
        <x:v>False</x:v>
      </x:c>
      <x:c r="T212" s="38" t="str">
        <x:v>Do not promote without scope review, exception review, and author-intent/baseline corroboration.</x:v>
      </x:c>
      <x:c r="U212" s="37" t="str">
        <x:v>55</x:v>
      </x:c>
      <x:c r="V212" s="37" t="str">
        <x:v>medium</x:v>
      </x:c>
      <x:c r="W212" s="37" t="str">
        <x:v>43</x:v>
      </x:c>
      <x:c r="X212" s="37" t="str">
        <x:v>low</x:v>
      </x:c>
      <x:c r="Y212" s="37" t="str">
        <x:v>40</x:v>
      </x:c>
      <x:c r="Z212" s="37" t="str">
        <x:v>low</x:v>
      </x:c>
      <x:c r="AA212" s="38" t="str">
        <x:v>alternative_profiles_present;baseline_incomplete</x:v>
      </x:c>
      <x:c r="AB212" s="37" t="str">
        <x:v>review_required</x:v>
      </x:c>
    </x:row>
    <x:row r="213">
      <x:c r="A213" s="37" t="str">
        <x:v>RC-0212</x:v>
      </x:c>
      <x:c r="B213" s="37" t="str">
        <x:v>spell_numeric</x:v>
      </x:c>
      <x:c r="C213" s="37" t="str">
        <x:v>observed_pattern</x:v>
      </x:c>
      <x:c r="D213" s="37" t="str">
        <x:v>repeated_implementation_profile</x:v>
      </x:c>
      <x:c r="E213" s="37" t="str">
        <x:v>Mysticism</x:v>
      </x:c>
      <x:c r="F213" s="37" t="str">
        <x:v>MysticismMagic.esp</x:v>
      </x:c>
      <x:c r="G213" s="37" t="str">
        <x:v>main</x:v>
      </x:c>
      <x:c r="H213" s="38" t="str">
        <x:v>Within MysticismMagic.esp, the spell_numeric implementation repeatedly uses: Restoration | skill 25 | Fire and Forget | Aimed | Value Modifier; observed center: 50.0</x:v>
      </x:c>
      <x:c r="I213" s="37" t="str">
        <x:v>3</x:v>
      </x:c>
      <x:c r="J213" s="37" t="str">
        <x:v>observed_patterns:spell_numeric:Restoration | skill 25 | Fire and Forget | Aimed | Value Modifier</x:v>
      </x:c>
      <x:c r="K213" s="37" t="str">
        <x:v>descriptive_frequency</x:v>
      </x:c>
      <x:c r="L213" s="37" t="str">
        <x:v>mixed_or_external_missing</x:v>
      </x:c>
      <x:c r="M213" s="37" t="str">
        <x:v>alternative_profiles_present</x:v>
      </x:c>
      <x:c r="N213" s="37" t="str">
        <x:v>56</x:v>
      </x:c>
      <x:c r="O213" s="37" t="str"/>
      <x:c r="P213" s="37" t="str">
        <x:v>36</x:v>
      </x:c>
      <x:c r="Q213" s="37" t="str">
        <x:v>low</x:v>
      </x:c>
      <x:c r="R213" s="37" t="str">
        <x:v>review_required</x:v>
      </x:c>
      <x:c r="S213" s="37" t="str">
        <x:v>False</x:v>
      </x:c>
      <x:c r="T213" s="38" t="str">
        <x:v>Do not promote without scope review, exception review, and author-intent/baseline corroboration.</x:v>
      </x:c>
      <x:c r="U213" s="37" t="str">
        <x:v>55</x:v>
      </x:c>
      <x:c r="V213" s="37" t="str">
        <x:v>medium</x:v>
      </x:c>
      <x:c r="W213" s="37" t="str">
        <x:v>43</x:v>
      </x:c>
      <x:c r="X213" s="37" t="str">
        <x:v>low</x:v>
      </x:c>
      <x:c r="Y213" s="37" t="str">
        <x:v>40</x:v>
      </x:c>
      <x:c r="Z213" s="37" t="str">
        <x:v>low</x:v>
      </x:c>
      <x:c r="AA213" s="38" t="str">
        <x:v>alternative_profiles_present;baseline_incomplete</x:v>
      </x:c>
      <x:c r="AB213" s="37" t="str">
        <x:v>review_required</x:v>
      </x:c>
    </x:row>
    <x:row r="214">
      <x:c r="A214" s="37" t="str">
        <x:v>RC-0213</x:v>
      </x:c>
      <x:c r="B214" s="37" t="str">
        <x:v>spell_numeric</x:v>
      </x:c>
      <x:c r="C214" s="37" t="str">
        <x:v>observed_pattern</x:v>
      </x:c>
      <x:c r="D214" s="37" t="str">
        <x:v>repeated_implementation_profile</x:v>
      </x:c>
      <x:c r="E214" s="37" t="str">
        <x:v>Mysticism</x:v>
      </x:c>
      <x:c r="F214" s="37" t="str">
        <x:v>MysticismMagic.esp</x:v>
      </x:c>
      <x:c r="G214" s="37" t="str">
        <x:v>main</x:v>
      </x:c>
      <x:c r="H214" s="38" t="str">
        <x:v>Within MysticismMagic.esp, the spell_numeric implementation repeatedly uses: Restoration | skill 50 | Fire and Forget | Aimed | Turn Undead; observed center: 263.0</x:v>
      </x:c>
      <x:c r="I214" s="37" t="str">
        <x:v>4</x:v>
      </x:c>
      <x:c r="J214" s="37" t="str">
        <x:v>observed_patterns:spell_numeric:Restoration | skill 50 | Fire and Forget | Aimed | Turn Undead</x:v>
      </x:c>
      <x:c r="K214" s="37" t="str">
        <x:v>descriptive_frequency</x:v>
      </x:c>
      <x:c r="L214" s="37" t="str">
        <x:v>mixed_or_external_missing</x:v>
      </x:c>
      <x:c r="M214" s="37" t="str">
        <x:v>alternative_profiles_present</x:v>
      </x:c>
      <x:c r="N214" s="37" t="str">
        <x:v>56</x:v>
      </x:c>
      <x:c r="O214" s="37" t="str"/>
      <x:c r="P214" s="37" t="str">
        <x:v>36</x:v>
      </x:c>
      <x:c r="Q214" s="37" t="str">
        <x:v>low</x:v>
      </x:c>
      <x:c r="R214" s="37" t="str">
        <x:v>review_required</x:v>
      </x:c>
      <x:c r="S214" s="37" t="str">
        <x:v>False</x:v>
      </x:c>
      <x:c r="T214" s="38" t="str">
        <x:v>Do not promote without scope review, exception review, and author-intent/baseline corroboration.</x:v>
      </x:c>
      <x:c r="U214" s="37" t="str">
        <x:v>55</x:v>
      </x:c>
      <x:c r="V214" s="37" t="str">
        <x:v>medium</x:v>
      </x:c>
      <x:c r="W214" s="37" t="str">
        <x:v>43</x:v>
      </x:c>
      <x:c r="X214" s="37" t="str">
        <x:v>low</x:v>
      </x:c>
      <x:c r="Y214" s="37" t="str">
        <x:v>40</x:v>
      </x:c>
      <x:c r="Z214" s="37" t="str">
        <x:v>low</x:v>
      </x:c>
      <x:c r="AA214" s="38" t="str">
        <x:v>alternative_profiles_present;baseline_incomplete</x:v>
      </x:c>
      <x:c r="AB214" s="37" t="str">
        <x:v>review_required</x:v>
      </x:c>
    </x:row>
    <x:row r="215">
      <x:c r="A215" s="37" t="str">
        <x:v>RC-0214</x:v>
      </x:c>
      <x:c r="B215" s="37" t="str">
        <x:v>spell_numeric</x:v>
      </x:c>
      <x:c r="C215" s="37" t="str">
        <x:v>observed_pattern</x:v>
      </x:c>
      <x:c r="D215" s="37" t="str">
        <x:v>repeated_implementation_profile</x:v>
      </x:c>
      <x:c r="E215" s="37" t="str">
        <x:v>Mysticism</x:v>
      </x:c>
      <x:c r="F215" s="37" t="str">
        <x:v>MysticismMagic.esp</x:v>
      </x:c>
      <x:c r="G215" s="37" t="str">
        <x:v>main</x:v>
      </x:c>
      <x:c r="H215" s="38" t="str">
        <x:v>Within MysticismMagic.esp, the spell_numeric implementation repeatedly uses: Restoration | skill 50 | Fire and Forget | Aimed | Value Modifier; observed center: 132.5</x:v>
      </x:c>
      <x:c r="I215" s="37" t="str">
        <x:v>4</x:v>
      </x:c>
      <x:c r="J215" s="37" t="str">
        <x:v>observed_patterns:spell_numeric:Restoration | skill 50 | Fire and Forget | Aimed | Value Modifier</x:v>
      </x:c>
      <x:c r="K215" s="37" t="str">
        <x:v>descriptive_frequency</x:v>
      </x:c>
      <x:c r="L215" s="37" t="str">
        <x:v>mixed_or_external_missing</x:v>
      </x:c>
      <x:c r="M215" s="37" t="str">
        <x:v>alternative_profiles_present</x:v>
      </x:c>
      <x:c r="N215" s="37" t="str">
        <x:v>56</x:v>
      </x:c>
      <x:c r="O215" s="37" t="str"/>
      <x:c r="P215" s="37" t="str">
        <x:v>36</x:v>
      </x:c>
      <x:c r="Q215" s="37" t="str">
        <x:v>low</x:v>
      </x:c>
      <x:c r="R215" s="37" t="str">
        <x:v>review_required</x:v>
      </x:c>
      <x:c r="S215" s="37" t="str">
        <x:v>False</x:v>
      </x:c>
      <x:c r="T215" s="38" t="str">
        <x:v>Do not promote without scope review, exception review, and author-intent/baseline corroboration.</x:v>
      </x:c>
      <x:c r="U215" s="37" t="str">
        <x:v>55</x:v>
      </x:c>
      <x:c r="V215" s="37" t="str">
        <x:v>medium</x:v>
      </x:c>
      <x:c r="W215" s="37" t="str">
        <x:v>43</x:v>
      </x:c>
      <x:c r="X215" s="37" t="str">
        <x:v>low</x:v>
      </x:c>
      <x:c r="Y215" s="37" t="str">
        <x:v>40</x:v>
      </x:c>
      <x:c r="Z215" s="37" t="str">
        <x:v>low</x:v>
      </x:c>
      <x:c r="AA215" s="38" t="str">
        <x:v>alternative_profiles_present;baseline_incomplete</x:v>
      </x:c>
      <x:c r="AB215" s="37" t="str">
        <x:v>review_required</x:v>
      </x:c>
    </x:row>
    <x:row r="216">
      <x:c r="A216" s="37" t="str">
        <x:v>RC-0215</x:v>
      </x:c>
      <x:c r="B216" s="37" t="str">
        <x:v>spell_numeric</x:v>
      </x:c>
      <x:c r="C216" s="37" t="str">
        <x:v>observed_pattern</x:v>
      </x:c>
      <x:c r="D216" s="37" t="str">
        <x:v>repeated_implementation_profile</x:v>
      </x:c>
      <x:c r="E216" s="37" t="str">
        <x:v>Mysticism</x:v>
      </x:c>
      <x:c r="F216" s="37" t="str">
        <x:v>MysticismMagic.esp</x:v>
      </x:c>
      <x:c r="G216" s="37" t="str">
        <x:v>main</x:v>
      </x:c>
      <x:c r="H216" s="38" t="str">
        <x:v>Within MysticismMagic.esp, the spell_numeric implementation repeatedly uses: Restoration | skill 50 | Fire and Forget | Self | Script; observed center: 247.5</x:v>
      </x:c>
      <x:c r="I216" s="37" t="str">
        <x:v>4</x:v>
      </x:c>
      <x:c r="J216" s="37" t="str">
        <x:v>observed_patterns:spell_numeric:Restoration | skill 50 | Fire and Forget | Self | Script</x:v>
      </x:c>
      <x:c r="K216" s="37" t="str">
        <x:v>descriptive_frequency</x:v>
      </x:c>
      <x:c r="L216" s="37" t="str">
        <x:v>mixed_or_external_missing</x:v>
      </x:c>
      <x:c r="M216" s="37" t="str">
        <x:v>alternative_profiles_present</x:v>
      </x:c>
      <x:c r="N216" s="37" t="str">
        <x:v>56</x:v>
      </x:c>
      <x:c r="O216" s="37" t="str"/>
      <x:c r="P216" s="37" t="str">
        <x:v>36</x:v>
      </x:c>
      <x:c r="Q216" s="37" t="str">
        <x:v>low</x:v>
      </x:c>
      <x:c r="R216" s="37" t="str">
        <x:v>review_required</x:v>
      </x:c>
      <x:c r="S216" s="37" t="str">
        <x:v>False</x:v>
      </x:c>
      <x:c r="T216" s="38" t="str">
        <x:v>Do not promote without scope review, exception review, and author-intent/baseline corroboration.</x:v>
      </x:c>
      <x:c r="U216" s="37" t="str">
        <x:v>55</x:v>
      </x:c>
      <x:c r="V216" s="37" t="str">
        <x:v>medium</x:v>
      </x:c>
      <x:c r="W216" s="37" t="str">
        <x:v>43</x:v>
      </x:c>
      <x:c r="X216" s="37" t="str">
        <x:v>low</x:v>
      </x:c>
      <x:c r="Y216" s="37" t="str">
        <x:v>40</x:v>
      </x:c>
      <x:c r="Z216" s="37" t="str">
        <x:v>low</x:v>
      </x:c>
      <x:c r="AA216" s="38" t="str">
        <x:v>alternative_profiles_present;baseline_incomplete</x:v>
      </x:c>
      <x:c r="AB216" s="37" t="str">
        <x:v>review_required</x:v>
      </x:c>
    </x:row>
    <x:row r="217">
      <x:c r="A217" s="37" t="str">
        <x:v>RC-0216</x:v>
      </x:c>
      <x:c r="B217" s="37" t="str">
        <x:v>spell_numeric</x:v>
      </x:c>
      <x:c r="C217" s="37" t="str">
        <x:v>observed_pattern</x:v>
      </x:c>
      <x:c r="D217" s="37" t="str">
        <x:v>repeated_implementation_profile</x:v>
      </x:c>
      <x:c r="E217" s="37" t="str">
        <x:v>Mysticism</x:v>
      </x:c>
      <x:c r="F217" s="37" t="str">
        <x:v>MysticismMagic.esp</x:v>
      </x:c>
      <x:c r="G217" s="37" t="str">
        <x:v>main</x:v>
      </x:c>
      <x:c r="H217" s="38" t="str">
        <x:v>Within MysticismMagic.esp, the spell_numeric implementation repeatedly uses: Restoration | skill 75 | Fire and Forget | Aimed | Value Modifier; observed center: 267.0</x:v>
      </x:c>
      <x:c r="I217" s="37" t="str">
        <x:v>4</x:v>
      </x:c>
      <x:c r="J217" s="37" t="str">
        <x:v>observed_patterns:spell_numeric:Restoration | skill 75 | Fire and Forget | Aimed | Value Modifier</x:v>
      </x:c>
      <x:c r="K217" s="37" t="str">
        <x:v>descriptive_frequency</x:v>
      </x:c>
      <x:c r="L217" s="37" t="str">
        <x:v>mixed_or_external_missing</x:v>
      </x:c>
      <x:c r="M217" s="37" t="str">
        <x:v>alternative_profiles_present</x:v>
      </x:c>
      <x:c r="N217" s="37" t="str">
        <x:v>56</x:v>
      </x:c>
      <x:c r="O217" s="37" t="str"/>
      <x:c r="P217" s="37" t="str">
        <x:v>36</x:v>
      </x:c>
      <x:c r="Q217" s="37" t="str">
        <x:v>low</x:v>
      </x:c>
      <x:c r="R217" s="37" t="str">
        <x:v>review_required</x:v>
      </x:c>
      <x:c r="S217" s="37" t="str">
        <x:v>False</x:v>
      </x:c>
      <x:c r="T217" s="38" t="str">
        <x:v>Do not promote without scope review, exception review, and author-intent/baseline corroboration.</x:v>
      </x:c>
      <x:c r="U217" s="37" t="str">
        <x:v>55</x:v>
      </x:c>
      <x:c r="V217" s="37" t="str">
        <x:v>medium</x:v>
      </x:c>
      <x:c r="W217" s="37" t="str">
        <x:v>43</x:v>
      </x:c>
      <x:c r="X217" s="37" t="str">
        <x:v>low</x:v>
      </x:c>
      <x:c r="Y217" s="37" t="str">
        <x:v>40</x:v>
      </x:c>
      <x:c r="Z217" s="37" t="str">
        <x:v>low</x:v>
      </x:c>
      <x:c r="AA217" s="38" t="str">
        <x:v>alternative_profiles_present;baseline_incomplete</x:v>
      </x:c>
      <x:c r="AB217" s="37" t="str">
        <x:v>review_required</x:v>
      </x:c>
    </x:row>
    <x:row r="218">
      <x:c r="A218" s="37" t="str">
        <x:v>RC-0217</x:v>
      </x:c>
      <x:c r="B218" s="37" t="str">
        <x:v>weapon_numeric</x:v>
      </x:c>
      <x:c r="C218" s="37" t="str">
        <x:v>observed_pattern</x:v>
      </x:c>
      <x:c r="D218" s="37" t="str">
        <x:v>repeated_implementation_profile</x:v>
      </x:c>
      <x:c r="E218" s="37" t="str">
        <x:v>Adamant</x:v>
      </x:c>
      <x:c r="F218" s="37" t="str">
        <x:v>Adamant.esp</x:v>
      </x:c>
      <x:c r="G218" s="37" t="str">
        <x:v>main</x:v>
      </x:c>
      <x:c r="H218" s="38" t="str">
        <x:v>Within Adamant.esp, the weapon_numeric implementation repeatedly uses: Bow | Marksman; observed center: damage=15.0; speed=0.875; reach=1.0; stagger=0.0</x:v>
      </x:c>
      <x:c r="I218" s="37" t="str">
        <x:v>3</x:v>
      </x:c>
      <x:c r="J218" s="37" t="str">
        <x:v>observed_patterns:weapon_numeric:Bow | Marksman</x:v>
      </x:c>
      <x:c r="K218" s="37" t="str">
        <x:v>descriptive_frequency</x:v>
      </x:c>
      <x:c r="L218" s="37" t="str">
        <x:v>mixed_or_external_missing</x:v>
      </x:c>
      <x:c r="M218" s="37" t="str">
        <x:v>alternative_profiles_present</x:v>
      </x:c>
      <x:c r="N218" s="37" t="str">
        <x:v>6</x:v>
      </x:c>
      <x:c r="O218" s="37" t="str"/>
      <x:c r="P218" s="37" t="str">
        <x:v>36</x:v>
      </x:c>
      <x:c r="Q218" s="37" t="str">
        <x:v>low</x:v>
      </x:c>
      <x:c r="R218" s="37" t="str">
        <x:v>review_required</x:v>
      </x:c>
      <x:c r="S218" s="37" t="str">
        <x:v>False</x:v>
      </x:c>
      <x:c r="T218" s="38" t="str">
        <x:v>Do not promote without scope review, exception review, and author-intent/baseline corroboration.</x:v>
      </x:c>
      <x:c r="U218" s="37" t="str">
        <x:v>55</x:v>
      </x:c>
      <x:c r="V218" s="37" t="str">
        <x:v>medium</x:v>
      </x:c>
      <x:c r="W218" s="37" t="str">
        <x:v>48</x:v>
      </x:c>
      <x:c r="X218" s="37" t="str">
        <x:v>low</x:v>
      </x:c>
      <x:c r="Y218" s="37" t="str">
        <x:v>42</x:v>
      </x:c>
      <x:c r="Z218" s="37" t="str">
        <x:v>low</x:v>
      </x:c>
      <x:c r="AA218" s="38" t="str">
        <x:v>alternative_profiles_present;baseline_incomplete</x:v>
      </x:c>
      <x:c r="AB218" s="37" t="str">
        <x:v>review_required</x:v>
      </x:c>
    </x:row>
    <x:row r="219">
      <x:c r="A219" s="37" t="str">
        <x:v>RC-0218</x:v>
      </x:c>
      <x:c r="B219" s="37" t="str">
        <x:v>weapon_numeric</x:v>
      </x:c>
      <x:c r="C219" s="37" t="str">
        <x:v>observed_pattern</x:v>
      </x:c>
      <x:c r="D219" s="37" t="str">
        <x:v>repeated_implementation_profile</x:v>
      </x:c>
      <x:c r="E219" s="37" t="str">
        <x:v>Adamant</x:v>
      </x:c>
      <x:c r="F219" s="37" t="str">
        <x:v>Adamant.esp</x:v>
      </x:c>
      <x:c r="G219" s="37" t="str">
        <x:v>main</x:v>
      </x:c>
      <x:c r="H219" s="38" t="str">
        <x:v>Within Adamant.esp, the weapon_numeric implementation repeatedly uses: OneHandAxe | OneHanded; observed center: damage=13.0; speed=0.8999999761581421; reach=1.0; stagger=0.8500000238418579</x:v>
      </x:c>
      <x:c r="I219" s="37" t="str">
        <x:v>3</x:v>
      </x:c>
      <x:c r="J219" s="37" t="str">
        <x:v>observed_patterns:weapon_numeric:OneHandAxe | OneHanded</x:v>
      </x:c>
      <x:c r="K219" s="37" t="str">
        <x:v>descriptive_frequency</x:v>
      </x:c>
      <x:c r="L219" s="37" t="str">
        <x:v>mixed_or_external_missing</x:v>
      </x:c>
      <x:c r="M219" s="37" t="str">
        <x:v>alternative_profiles_present</x:v>
      </x:c>
      <x:c r="N219" s="37" t="str">
        <x:v>6</x:v>
      </x:c>
      <x:c r="O219" s="37" t="str"/>
      <x:c r="P219" s="37" t="str">
        <x:v>36</x:v>
      </x:c>
      <x:c r="Q219" s="37" t="str">
        <x:v>low</x:v>
      </x:c>
      <x:c r="R219" s="37" t="str">
        <x:v>review_required</x:v>
      </x:c>
      <x:c r="S219" s="37" t="str">
        <x:v>False</x:v>
      </x:c>
      <x:c r="T219" s="38" t="str">
        <x:v>Do not promote without scope review, exception review, and author-intent/baseline corroboration.</x:v>
      </x:c>
      <x:c r="U219" s="37" t="str">
        <x:v>55</x:v>
      </x:c>
      <x:c r="V219" s="37" t="str">
        <x:v>medium</x:v>
      </x:c>
      <x:c r="W219" s="37" t="str">
        <x:v>48</x:v>
      </x:c>
      <x:c r="X219" s="37" t="str">
        <x:v>low</x:v>
      </x:c>
      <x:c r="Y219" s="37" t="str">
        <x:v>42</x:v>
      </x:c>
      <x:c r="Z219" s="37" t="str">
        <x:v>low</x:v>
      </x:c>
      <x:c r="AA219" s="38" t="str">
        <x:v>alternative_profiles_present;baseline_incomplete</x:v>
      </x:c>
      <x:c r="AB219" s="37" t="str">
        <x:v>review_required</x:v>
      </x:c>
    </x:row>
    <x:row r="220">
      <x:c r="A220" s="37" t="str">
        <x:v>RC-0219</x:v>
      </x:c>
      <x:c r="B220" s="37" t="str">
        <x:v>weapon_numeric</x:v>
      </x:c>
      <x:c r="C220" s="37" t="str">
        <x:v>observed_pattern</x:v>
      </x:c>
      <x:c r="D220" s="37" t="str">
        <x:v>repeated_implementation_profile</x:v>
      </x:c>
      <x:c r="E220" s="37" t="str">
        <x:v>Adamant</x:v>
      </x:c>
      <x:c r="F220" s="37" t="str">
        <x:v>Adamant.esp</x:v>
      </x:c>
      <x:c r="G220" s="37" t="str">
        <x:v>main</x:v>
      </x:c>
      <x:c r="H220" s="38" t="str">
        <x:v>Within Adamant.esp, the weapon_numeric implementation repeatedly uses: OneHandDagger | OneHanded; observed center: damage=10.0; speed=1.2999999523162842; reach=0.699999988079071; stagger=0.0</x:v>
      </x:c>
      <x:c r="I220" s="37" t="str">
        <x:v>3</x:v>
      </x:c>
      <x:c r="J220" s="37" t="str">
        <x:v>observed_patterns:weapon_numeric:OneHandDagger | OneHanded</x:v>
      </x:c>
      <x:c r="K220" s="37" t="str">
        <x:v>descriptive_frequency</x:v>
      </x:c>
      <x:c r="L220" s="37" t="str">
        <x:v>mixed_or_external_missing</x:v>
      </x:c>
      <x:c r="M220" s="37" t="str">
        <x:v>alternative_profiles_present</x:v>
      </x:c>
      <x:c r="N220" s="37" t="str">
        <x:v>6</x:v>
      </x:c>
      <x:c r="O220" s="37" t="str"/>
      <x:c r="P220" s="37" t="str">
        <x:v>36</x:v>
      </x:c>
      <x:c r="Q220" s="37" t="str">
        <x:v>low</x:v>
      </x:c>
      <x:c r="R220" s="37" t="str">
        <x:v>review_required</x:v>
      </x:c>
      <x:c r="S220" s="37" t="str">
        <x:v>False</x:v>
      </x:c>
      <x:c r="T220" s="38" t="str">
        <x:v>Do not promote without scope review, exception review, and author-intent/baseline corroboration.</x:v>
      </x:c>
      <x:c r="U220" s="37" t="str">
        <x:v>55</x:v>
      </x:c>
      <x:c r="V220" s="37" t="str">
        <x:v>medium</x:v>
      </x:c>
      <x:c r="W220" s="37" t="str">
        <x:v>48</x:v>
      </x:c>
      <x:c r="X220" s="37" t="str">
        <x:v>low</x:v>
      </x:c>
      <x:c r="Y220" s="37" t="str">
        <x:v>42</x:v>
      </x:c>
      <x:c r="Z220" s="37" t="str">
        <x:v>low</x:v>
      </x:c>
      <x:c r="AA220" s="38" t="str">
        <x:v>alternative_profiles_present;baseline_incomplete</x:v>
      </x:c>
      <x:c r="AB220" s="37" t="str">
        <x:v>review_required</x:v>
      </x:c>
    </x:row>
    <x:row r="221">
      <x:c r="A221" s="37" t="str">
        <x:v>RC-0220</x:v>
      </x:c>
      <x:c r="B221" s="37" t="str">
        <x:v>weapon_numeric</x:v>
      </x:c>
      <x:c r="C221" s="37" t="str">
        <x:v>observed_pattern</x:v>
      </x:c>
      <x:c r="D221" s="37" t="str">
        <x:v>repeated_implementation_profile</x:v>
      </x:c>
      <x:c r="E221" s="37" t="str">
        <x:v>Adamant</x:v>
      </x:c>
      <x:c r="F221" s="37" t="str">
        <x:v>Adamant.esp</x:v>
      </x:c>
      <x:c r="G221" s="37" t="str">
        <x:v>main</x:v>
      </x:c>
      <x:c r="H221" s="38" t="str">
        <x:v>Within Adamant.esp, the weapon_numeric implementation repeatedly uses: OneHandMace | OneHanded; observed center: damage=14.0; speed=0.800000011920929; reach=1.0; stagger=1.0</x:v>
      </x:c>
      <x:c r="I221" s="37" t="str">
        <x:v>3</x:v>
      </x:c>
      <x:c r="J221" s="37" t="str">
        <x:v>observed_patterns:weapon_numeric:OneHandMace | OneHanded</x:v>
      </x:c>
      <x:c r="K221" s="37" t="str">
        <x:v>descriptive_frequency</x:v>
      </x:c>
      <x:c r="L221" s="37" t="str">
        <x:v>mixed_or_external_missing</x:v>
      </x:c>
      <x:c r="M221" s="37" t="str">
        <x:v>alternative_profiles_present</x:v>
      </x:c>
      <x:c r="N221" s="37" t="str">
        <x:v>6</x:v>
      </x:c>
      <x:c r="O221" s="37" t="str"/>
      <x:c r="P221" s="37" t="str">
        <x:v>36</x:v>
      </x:c>
      <x:c r="Q221" s="37" t="str">
        <x:v>low</x:v>
      </x:c>
      <x:c r="R221" s="37" t="str">
        <x:v>review_required</x:v>
      </x:c>
      <x:c r="S221" s="37" t="str">
        <x:v>False</x:v>
      </x:c>
      <x:c r="T221" s="38" t="str">
        <x:v>Do not promote without scope review, exception review, and author-intent/baseline corroboration.</x:v>
      </x:c>
      <x:c r="U221" s="37" t="str">
        <x:v>55</x:v>
      </x:c>
      <x:c r="V221" s="37" t="str">
        <x:v>medium</x:v>
      </x:c>
      <x:c r="W221" s="37" t="str">
        <x:v>48</x:v>
      </x:c>
      <x:c r="X221" s="37" t="str">
        <x:v>low</x:v>
      </x:c>
      <x:c r="Y221" s="37" t="str">
        <x:v>42</x:v>
      </x:c>
      <x:c r="Z221" s="37" t="str">
        <x:v>low</x:v>
      </x:c>
      <x:c r="AA221" s="38" t="str">
        <x:v>alternative_profiles_present;baseline_incomplete</x:v>
      </x:c>
      <x:c r="AB221" s="37" t="str">
        <x:v>review_required</x:v>
      </x:c>
    </x:row>
    <x:row r="222">
      <x:c r="A222" s="37" t="str">
        <x:v>RC-0221</x:v>
      </x:c>
      <x:c r="B222" s="37" t="str">
        <x:v>weapon_numeric</x:v>
      </x:c>
      <x:c r="C222" s="37" t="str">
        <x:v>observed_pattern</x:v>
      </x:c>
      <x:c r="D222" s="37" t="str">
        <x:v>repeated_implementation_profile</x:v>
      </x:c>
      <x:c r="E222" s="37" t="str">
        <x:v>Adamant</x:v>
      </x:c>
      <x:c r="F222" s="37" t="str">
        <x:v>Adamant.esp</x:v>
      </x:c>
      <x:c r="G222" s="37" t="str">
        <x:v>main</x:v>
      </x:c>
      <x:c r="H222" s="38" t="str">
        <x:v>Within Adamant.esp, the weapon_numeric implementation repeatedly uses: OneHandSword | OneHanded; observed center: damage=12.0; speed=1.0; reach=1.0; stagger=0.75</x:v>
      </x:c>
      <x:c r="I222" s="37" t="str">
        <x:v>3</x:v>
      </x:c>
      <x:c r="J222" s="37" t="str">
        <x:v>observed_patterns:weapon_numeric:OneHandSword | OneHanded</x:v>
      </x:c>
      <x:c r="K222" s="37" t="str">
        <x:v>descriptive_frequency</x:v>
      </x:c>
      <x:c r="L222" s="37" t="str">
        <x:v>mixed_or_external_missing</x:v>
      </x:c>
      <x:c r="M222" s="37" t="str">
        <x:v>alternative_profiles_present</x:v>
      </x:c>
      <x:c r="N222" s="37" t="str">
        <x:v>6</x:v>
      </x:c>
      <x:c r="O222" s="37" t="str"/>
      <x:c r="P222" s="37" t="str">
        <x:v>36</x:v>
      </x:c>
      <x:c r="Q222" s="37" t="str">
        <x:v>low</x:v>
      </x:c>
      <x:c r="R222" s="37" t="str">
        <x:v>review_required</x:v>
      </x:c>
      <x:c r="S222" s="37" t="str">
        <x:v>False</x:v>
      </x:c>
      <x:c r="T222" s="38" t="str">
        <x:v>Do not promote without scope review, exception review, and author-intent/baseline corroboration.</x:v>
      </x:c>
      <x:c r="U222" s="37" t="str">
        <x:v>55</x:v>
      </x:c>
      <x:c r="V222" s="37" t="str">
        <x:v>medium</x:v>
      </x:c>
      <x:c r="W222" s="37" t="str">
        <x:v>48</x:v>
      </x:c>
      <x:c r="X222" s="37" t="str">
        <x:v>low</x:v>
      </x:c>
      <x:c r="Y222" s="37" t="str">
        <x:v>42</x:v>
      </x:c>
      <x:c r="Z222" s="37" t="str">
        <x:v>low</x:v>
      </x:c>
      <x:c r="AA222" s="38" t="str">
        <x:v>alternative_profiles_present;baseline_incomplete</x:v>
      </x:c>
      <x:c r="AB222" s="37" t="str">
        <x:v>review_required</x:v>
      </x:c>
    </x:row>
    <x:row r="223">
      <x:c r="A223" s="37" t="str">
        <x:v>RC-0222</x:v>
      </x:c>
      <x:c r="B223" s="37" t="str">
        <x:v>weapon_numeric</x:v>
      </x:c>
      <x:c r="C223" s="37" t="str">
        <x:v>observed_pattern</x:v>
      </x:c>
      <x:c r="D223" s="37" t="str">
        <x:v>repeated_implementation_profile</x:v>
      </x:c>
      <x:c r="E223" s="37" t="str">
        <x:v>Adamant</x:v>
      </x:c>
      <x:c r="F223" s="37" t="str">
        <x:v>Adamant.esp</x:v>
      </x:c>
      <x:c r="G223" s="37" t="str">
        <x:v>main</x:v>
      </x:c>
      <x:c r="H223" s="38" t="str">
        <x:v>Within Adamant.esp, the weapon_numeric implementation repeatedly uses: TwoHandAxe | TwoHanded; observed center: damage=22.0; speed=0.6500000059604645; reach=1.2999999523162842; stagger=1.199999988079071</x:v>
      </x:c>
      <x:c r="I223" s="37" t="str">
        <x:v>6</x:v>
      </x:c>
      <x:c r="J223" s="37" t="str">
        <x:v>observed_patterns:weapon_numeric:TwoHandAxe | TwoHanded</x:v>
      </x:c>
      <x:c r="K223" s="37" t="str">
        <x:v>descriptive_frequency</x:v>
      </x:c>
      <x:c r="L223" s="37" t="str">
        <x:v>mixed_or_external_missing</x:v>
      </x:c>
      <x:c r="M223" s="37" t="str">
        <x:v>alternative_profiles_present</x:v>
      </x:c>
      <x:c r="N223" s="37" t="str">
        <x:v>6</x:v>
      </x:c>
      <x:c r="O223" s="37" t="str"/>
      <x:c r="P223" s="37" t="str">
        <x:v>42</x:v>
      </x:c>
      <x:c r="Q223" s="37" t="str">
        <x:v>low</x:v>
      </x:c>
      <x:c r="R223" s="37" t="str">
        <x:v>review_required</x:v>
      </x:c>
      <x:c r="S223" s="37" t="str">
        <x:v>False</x:v>
      </x:c>
      <x:c r="T223" s="38" t="str">
        <x:v>Do not promote without scope review, exception review, and author-intent/baseline corroboration.</x:v>
      </x:c>
      <x:c r="U223" s="37" t="str">
        <x:v>62</x:v>
      </x:c>
      <x:c r="V223" s="37" t="str">
        <x:v>medium</x:v>
      </x:c>
      <x:c r="W223" s="37" t="str">
        <x:v>48</x:v>
      </x:c>
      <x:c r="X223" s="37" t="str">
        <x:v>low</x:v>
      </x:c>
      <x:c r="Y223" s="37" t="str">
        <x:v>46</x:v>
      </x:c>
      <x:c r="Z223" s="37" t="str">
        <x:v>low</x:v>
      </x:c>
      <x:c r="AA223" s="38" t="str">
        <x:v>alternative_profiles_present;baseline_incomplete</x:v>
      </x:c>
      <x:c r="AB223" s="37" t="str">
        <x:v>review_required</x:v>
      </x:c>
    </x:row>
    <x:row r="224">
      <x:c r="A224" s="37" t="str">
        <x:v>RC-0223</x:v>
      </x:c>
      <x:c r="B224" s="37" t="str">
        <x:v>weapon_numeric</x:v>
      </x:c>
      <x:c r="C224" s="37" t="str">
        <x:v>observed_pattern</x:v>
      </x:c>
      <x:c r="D224" s="37" t="str">
        <x:v>repeated_implementation_profile</x:v>
      </x:c>
      <x:c r="E224" s="37" t="str">
        <x:v>Adamant</x:v>
      </x:c>
      <x:c r="F224" s="37" t="str">
        <x:v>Adamant.esp</x:v>
      </x:c>
      <x:c r="G224" s="37" t="str">
        <x:v>main</x:v>
      </x:c>
      <x:c r="H224" s="38" t="str">
        <x:v>Within Adamant.esp, the weapon_numeric implementation repeatedly uses: TwoHandSword | TwoHanded; observed center: damage=20.0; speed=0.75; reach=1.2999999523162842; stagger=1.149999976158142</x:v>
      </x:c>
      <x:c r="I224" s="37" t="str">
        <x:v>3</x:v>
      </x:c>
      <x:c r="J224" s="37" t="str">
        <x:v>observed_patterns:weapon_numeric:TwoHandSword | TwoHanded</x:v>
      </x:c>
      <x:c r="K224" s="37" t="str">
        <x:v>descriptive_frequency</x:v>
      </x:c>
      <x:c r="L224" s="37" t="str">
        <x:v>mixed_or_external_missing</x:v>
      </x:c>
      <x:c r="M224" s="37" t="str">
        <x:v>alternative_profiles_present</x:v>
      </x:c>
      <x:c r="N224" s="37" t="str">
        <x:v>6</x:v>
      </x:c>
      <x:c r="O224" s="37" t="str"/>
      <x:c r="P224" s="37" t="str">
        <x:v>36</x:v>
      </x:c>
      <x:c r="Q224" s="37" t="str">
        <x:v>low</x:v>
      </x:c>
      <x:c r="R224" s="37" t="str">
        <x:v>review_required</x:v>
      </x:c>
      <x:c r="S224" s="37" t="str">
        <x:v>False</x:v>
      </x:c>
      <x:c r="T224" s="38" t="str">
        <x:v>Do not promote without scope review, exception review, and author-intent/baseline corroboration.</x:v>
      </x:c>
      <x:c r="U224" s="37" t="str">
        <x:v>55</x:v>
      </x:c>
      <x:c r="V224" s="37" t="str">
        <x:v>medium</x:v>
      </x:c>
      <x:c r="W224" s="37" t="str">
        <x:v>48</x:v>
      </x:c>
      <x:c r="X224" s="37" t="str">
        <x:v>low</x:v>
      </x:c>
      <x:c r="Y224" s="37" t="str">
        <x:v>42</x:v>
      </x:c>
      <x:c r="Z224" s="37" t="str">
        <x:v>low</x:v>
      </x:c>
      <x:c r="AA224" s="38" t="str">
        <x:v>alternative_profiles_present;baseline_incomplete</x:v>
      </x:c>
      <x:c r="AB224" s="37" t="str">
        <x:v>review_required</x:v>
      </x:c>
    </x:row>
    <x:row r="225">
      <x:c r="A225" s="37" t="str">
        <x:v>RC-0224</x:v>
      </x:c>
      <x:c r="B225" s="37" t="str">
        <x:v>weapon_numeric</x:v>
      </x:c>
      <x:c r="C225" s="37" t="str">
        <x:v>observed_pattern</x:v>
      </x:c>
      <x:c r="D225" s="37" t="str">
        <x:v>repeated_implementation_profile</x:v>
      </x:c>
      <x:c r="E225" s="37" t="str">
        <x:v>Mysticism</x:v>
      </x:c>
      <x:c r="F225" s="37" t="str">
        <x:v>MysticismMagic.esp</x:v>
      </x:c>
      <x:c r="G225" s="37" t="str">
        <x:v>main</x:v>
      </x:c>
      <x:c r="H225" s="38" t="str">
        <x:v>Within MysticismMagic.esp, the weapon_numeric implementation repeatedly uses: Bow | Marksman; observed center: damage=19.0; speed=0.75; reach=1.0; stagger=0.0</x:v>
      </x:c>
      <x:c r="I225" s="37" t="str">
        <x:v>5</x:v>
      </x:c>
      <x:c r="J225" s="37" t="str">
        <x:v>observed_patterns:weapon_numeric:Bow | Marksman</x:v>
      </x:c>
      <x:c r="K225" s="37" t="str">
        <x:v>descriptive_frequency</x:v>
      </x:c>
      <x:c r="L225" s="37" t="str">
        <x:v>mixed_or_external_missing</x:v>
      </x:c>
      <x:c r="M225" s="37" t="str">
        <x:v>alternative_profiles_present</x:v>
      </x:c>
      <x:c r="N225" s="37" t="str">
        <x:v>10</x:v>
      </x:c>
      <x:c r="O225" s="37" t="str"/>
      <x:c r="P225" s="37" t="str">
        <x:v>42</x:v>
      </x:c>
      <x:c r="Q225" s="37" t="str">
        <x:v>low</x:v>
      </x:c>
      <x:c r="R225" s="37" t="str">
        <x:v>review_required</x:v>
      </x:c>
      <x:c r="S225" s="37" t="str">
        <x:v>False</x:v>
      </x:c>
      <x:c r="T225" s="38" t="str">
        <x:v>Do not promote without scope review, exception review, and author-intent/baseline corroboration.</x:v>
      </x:c>
      <x:c r="U225" s="37" t="str">
        <x:v>62</x:v>
      </x:c>
      <x:c r="V225" s="37" t="str">
        <x:v>medium</x:v>
      </x:c>
      <x:c r="W225" s="37" t="str">
        <x:v>48</x:v>
      </x:c>
      <x:c r="X225" s="37" t="str">
        <x:v>low</x:v>
      </x:c>
      <x:c r="Y225" s="37" t="str">
        <x:v>46</x:v>
      </x:c>
      <x:c r="Z225" s="37" t="str">
        <x:v>low</x:v>
      </x:c>
      <x:c r="AA225" s="38" t="str">
        <x:v>alternative_profiles_present;baseline_incomplete</x:v>
      </x:c>
      <x:c r="AB225" s="37" t="str">
        <x:v>review_required</x:v>
      </x:c>
    </x:row>
    <x:row r="226">
      <x:c r="A226" s="37" t="str">
        <x:v>RC-0225</x:v>
      </x:c>
      <x:c r="B226" s="37" t="str">
        <x:v>weapon_numeric</x:v>
      </x:c>
      <x:c r="C226" s="37" t="str">
        <x:v>observed_pattern</x:v>
      </x:c>
      <x:c r="D226" s="37" t="str">
        <x:v>repeated_implementation_profile</x:v>
      </x:c>
      <x:c r="E226" s="37" t="str">
        <x:v>Mysticism</x:v>
      </x:c>
      <x:c r="F226" s="37" t="str">
        <x:v>MysticismMagic.esp</x:v>
      </x:c>
      <x:c r="G226" s="37" t="str">
        <x:v>main</x:v>
      </x:c>
      <x:c r="H226" s="38" t="str">
        <x:v>Within MysticismMagic.esp, the weapon_numeric implementation repeatedly uses: OneHandAxe | OneHanded; observed center: damage=13.0; speed=0.8999999761581421; reach=1.0; stagger=0.8500000238418579</x:v>
      </x:c>
      <x:c r="I226" s="37" t="str">
        <x:v>3</x:v>
      </x:c>
      <x:c r="J226" s="37" t="str">
        <x:v>observed_patterns:weapon_numeric:OneHandAxe | OneHanded</x:v>
      </x:c>
      <x:c r="K226" s="37" t="str">
        <x:v>descriptive_frequency</x:v>
      </x:c>
      <x:c r="L226" s="37" t="str">
        <x:v>mixed_or_external_missing</x:v>
      </x:c>
      <x:c r="M226" s="37" t="str">
        <x:v>alternative_profiles_present</x:v>
      </x:c>
      <x:c r="N226" s="37" t="str">
        <x:v>10</x:v>
      </x:c>
      <x:c r="O226" s="37" t="str"/>
      <x:c r="P226" s="37" t="str">
        <x:v>36</x:v>
      </x:c>
      <x:c r="Q226" s="37" t="str">
        <x:v>low</x:v>
      </x:c>
      <x:c r="R226" s="37" t="str">
        <x:v>review_required</x:v>
      </x:c>
      <x:c r="S226" s="37" t="str">
        <x:v>False</x:v>
      </x:c>
      <x:c r="T226" s="38" t="str">
        <x:v>Do not promote without scope review, exception review, and author-intent/baseline corroboration.</x:v>
      </x:c>
      <x:c r="U226" s="37" t="str">
        <x:v>55</x:v>
      </x:c>
      <x:c r="V226" s="37" t="str">
        <x:v>medium</x:v>
      </x:c>
      <x:c r="W226" s="37" t="str">
        <x:v>48</x:v>
      </x:c>
      <x:c r="X226" s="37" t="str">
        <x:v>low</x:v>
      </x:c>
      <x:c r="Y226" s="37" t="str">
        <x:v>42</x:v>
      </x:c>
      <x:c r="Z226" s="37" t="str">
        <x:v>low</x:v>
      </x:c>
      <x:c r="AA226" s="38" t="str">
        <x:v>alternative_profiles_present;baseline_incomplete</x:v>
      </x:c>
      <x:c r="AB226" s="37" t="str">
        <x:v>review_required</x:v>
      </x:c>
    </x:row>
    <x:row r="227">
      <x:c r="A227" s="37" t="str">
        <x:v>RC-0226</x:v>
      </x:c>
      <x:c r="B227" s="37" t="str">
        <x:v>weapon_numeric</x:v>
      </x:c>
      <x:c r="C227" s="37" t="str">
        <x:v>observed_pattern</x:v>
      </x:c>
      <x:c r="D227" s="37" t="str">
        <x:v>repeated_implementation_profile</x:v>
      </x:c>
      <x:c r="E227" s="37" t="str">
        <x:v>Mysticism</x:v>
      </x:c>
      <x:c r="F227" s="37" t="str">
        <x:v>MysticismMagic.esp</x:v>
      </x:c>
      <x:c r="G227" s="37" t="str">
        <x:v>main</x:v>
      </x:c>
      <x:c r="H227" s="38" t="str">
        <x:v>Within MysticismMagic.esp, the weapon_numeric implementation repeatedly uses: OneHandMace | OneHanded; observed center: damage=12.0; speed=0.800000011920929; reach=1.0; stagger=1.0</x:v>
      </x:c>
      <x:c r="I227" s="37" t="str">
        <x:v>3</x:v>
      </x:c>
      <x:c r="J227" s="37" t="str">
        <x:v>observed_patterns:weapon_numeric:OneHandMace | OneHanded</x:v>
      </x:c>
      <x:c r="K227" s="37" t="str">
        <x:v>descriptive_frequency</x:v>
      </x:c>
      <x:c r="L227" s="37" t="str">
        <x:v>mixed_or_external_missing</x:v>
      </x:c>
      <x:c r="M227" s="37" t="str">
        <x:v>alternative_profiles_present</x:v>
      </x:c>
      <x:c r="N227" s="37" t="str">
        <x:v>10</x:v>
      </x:c>
      <x:c r="O227" s="37" t="str"/>
      <x:c r="P227" s="37" t="str">
        <x:v>36</x:v>
      </x:c>
      <x:c r="Q227" s="37" t="str">
        <x:v>low</x:v>
      </x:c>
      <x:c r="R227" s="37" t="str">
        <x:v>review_required</x:v>
      </x:c>
      <x:c r="S227" s="37" t="str">
        <x:v>False</x:v>
      </x:c>
      <x:c r="T227" s="38" t="str">
        <x:v>Do not promote without scope review, exception review, and author-intent/baseline corroboration.</x:v>
      </x:c>
      <x:c r="U227" s="37" t="str">
        <x:v>55</x:v>
      </x:c>
      <x:c r="V227" s="37" t="str">
        <x:v>medium</x:v>
      </x:c>
      <x:c r="W227" s="37" t="str">
        <x:v>48</x:v>
      </x:c>
      <x:c r="X227" s="37" t="str">
        <x:v>low</x:v>
      </x:c>
      <x:c r="Y227" s="37" t="str">
        <x:v>42</x:v>
      </x:c>
      <x:c r="Z227" s="37" t="str">
        <x:v>low</x:v>
      </x:c>
      <x:c r="AA227" s="38" t="str">
        <x:v>alternative_profiles_present;baseline_incomplete</x:v>
      </x:c>
      <x:c r="AB227" s="37" t="str">
        <x:v>review_required</x:v>
      </x:c>
    </x:row>
    <x:row r="228">
      <x:c r="A228" s="37" t="str">
        <x:v>RC-0227</x:v>
      </x:c>
      <x:c r="B228" s="37" t="str">
        <x:v>weapon_numeric</x:v>
      </x:c>
      <x:c r="C228" s="37" t="str">
        <x:v>observed_pattern</x:v>
      </x:c>
      <x:c r="D228" s="37" t="str">
        <x:v>repeated_implementation_profile</x:v>
      </x:c>
      <x:c r="E228" s="37" t="str">
        <x:v>Mysticism</x:v>
      </x:c>
      <x:c r="F228" s="37" t="str">
        <x:v>MysticismMagic.esp</x:v>
      </x:c>
      <x:c r="G228" s="37" t="str">
        <x:v>main</x:v>
      </x:c>
      <x:c r="H228" s="38" t="str">
        <x:v>Within MysticismMagic.esp, the weapon_numeric implementation repeatedly uses: OneHandSword | OneHanded; observed center: damage=12.0; speed=1.0; reach=1.0; stagger=0.75</x:v>
      </x:c>
      <x:c r="I228" s="37" t="str">
        <x:v>3</x:v>
      </x:c>
      <x:c r="J228" s="37" t="str">
        <x:v>observed_patterns:weapon_numeric:OneHandSword | OneHanded</x:v>
      </x:c>
      <x:c r="K228" s="37" t="str">
        <x:v>descriptive_frequency</x:v>
      </x:c>
      <x:c r="L228" s="37" t="str">
        <x:v>mixed_or_external_missing</x:v>
      </x:c>
      <x:c r="M228" s="37" t="str">
        <x:v>alternative_profiles_present</x:v>
      </x:c>
      <x:c r="N228" s="37" t="str">
        <x:v>10</x:v>
      </x:c>
      <x:c r="O228" s="37" t="str"/>
      <x:c r="P228" s="37" t="str">
        <x:v>36</x:v>
      </x:c>
      <x:c r="Q228" s="37" t="str">
        <x:v>low</x:v>
      </x:c>
      <x:c r="R228" s="37" t="str">
        <x:v>review_required</x:v>
      </x:c>
      <x:c r="S228" s="37" t="str">
        <x:v>False</x:v>
      </x:c>
      <x:c r="T228" s="38" t="str">
        <x:v>Do not promote without scope review, exception review, and author-intent/baseline corroboration.</x:v>
      </x:c>
      <x:c r="U228" s="37" t="str">
        <x:v>55</x:v>
      </x:c>
      <x:c r="V228" s="37" t="str">
        <x:v>medium</x:v>
      </x:c>
      <x:c r="W228" s="37" t="str">
        <x:v>48</x:v>
      </x:c>
      <x:c r="X228" s="37" t="str">
        <x:v>low</x:v>
      </x:c>
      <x:c r="Y228" s="37" t="str">
        <x:v>42</x:v>
      </x:c>
      <x:c r="Z228" s="37" t="str">
        <x:v>low</x:v>
      </x:c>
      <x:c r="AA228" s="38" t="str">
        <x:v>alternative_profiles_present;baseline_incomplete</x:v>
      </x:c>
      <x:c r="AB228" s="37" t="str">
        <x:v>review_required</x:v>
      </x:c>
    </x:row>
    <x:row r="229">
      <x:c r="A229" s="37" t="str">
        <x:v>RC-0228</x:v>
      </x:c>
      <x:c r="B229" s="37" t="str">
        <x:v>weapon_numeric</x:v>
      </x:c>
      <x:c r="C229" s="37" t="str">
        <x:v>observed_pattern</x:v>
      </x:c>
      <x:c r="D229" s="37" t="str">
        <x:v>repeated_implementation_profile</x:v>
      </x:c>
      <x:c r="E229" s="37" t="str">
        <x:v>Mysticism</x:v>
      </x:c>
      <x:c r="F229" s="37" t="str">
        <x:v>MysticismMagic.esp</x:v>
      </x:c>
      <x:c r="G229" s="37" t="str">
        <x:v>main</x:v>
      </x:c>
      <x:c r="H229" s="38" t="str">
        <x:v>Within MysticismMagic.esp, the weapon_numeric implementation repeatedly uses: Staff | Alteration; observed center: damage=0.0; speed=1.0; reach=1.2999999523162842; stagger=0.0</x:v>
      </x:c>
      <x:c r="I229" s="37" t="str">
        <x:v>22</x:v>
      </x:c>
      <x:c r="J229" s="37" t="str">
        <x:v>observed_patterns:weapon_numeric:Staff | Alteration</x:v>
      </x:c>
      <x:c r="K229" s="37" t="str">
        <x:v>descriptive_frequency</x:v>
      </x:c>
      <x:c r="L229" s="37" t="str">
        <x:v>mixed_or_external_missing</x:v>
      </x:c>
      <x:c r="M229" s="37" t="str">
        <x:v>alternative_profiles_present</x:v>
      </x:c>
      <x:c r="N229" s="37" t="str">
        <x:v>10</x:v>
      </x:c>
      <x:c r="O229" s="37" t="str"/>
      <x:c r="P229" s="37" t="str">
        <x:v>53</x:v>
      </x:c>
      <x:c r="Q229" s="37" t="str">
        <x:v>medium</x:v>
      </x:c>
      <x:c r="R229" s="37" t="str">
        <x:v>review_required</x:v>
      </x:c>
      <x:c r="S229" s="37" t="str">
        <x:v>False</x:v>
      </x:c>
      <x:c r="T229" s="38" t="str">
        <x:v>Do not promote without scope review, exception review, and author-intent/baseline corroboration.</x:v>
      </x:c>
      <x:c r="U229" s="37" t="str">
        <x:v>80</x:v>
      </x:c>
      <x:c r="V229" s="37" t="str">
        <x:v>high</x:v>
      </x:c>
      <x:c r="W229" s="37" t="str">
        <x:v>48</x:v>
      </x:c>
      <x:c r="X229" s="37" t="str">
        <x:v>low</x:v>
      </x:c>
      <x:c r="Y229" s="37" t="str">
        <x:v>56</x:v>
      </x:c>
      <x:c r="Z229" s="37" t="str">
        <x:v>medium</x:v>
      </x:c>
      <x:c r="AA229" s="38" t="str">
        <x:v>alternative_profiles_present;baseline_incomplete</x:v>
      </x:c>
      <x:c r="AB229" s="37" t="str">
        <x:v>review_required</x:v>
      </x:c>
    </x:row>
    <x:row r="230">
      <x:c r="A230" s="37" t="str">
        <x:v>RC-0229</x:v>
      </x:c>
      <x:c r="B230" s="37" t="str">
        <x:v>weapon_numeric</x:v>
      </x:c>
      <x:c r="C230" s="37" t="str">
        <x:v>observed_pattern</x:v>
      </x:c>
      <x:c r="D230" s="37" t="str">
        <x:v>repeated_implementation_profile</x:v>
      </x:c>
      <x:c r="E230" s="37" t="str">
        <x:v>Mysticism</x:v>
      </x:c>
      <x:c r="F230" s="37" t="str">
        <x:v>MysticismMagic.esp</x:v>
      </x:c>
      <x:c r="G230" s="37" t="str">
        <x:v>main</x:v>
      </x:c>
      <x:c r="H230" s="38" t="str">
        <x:v>Within MysticismMagic.esp, the weapon_numeric implementation repeatedly uses: Staff | Conjuration; observed center: damage=0.0; speed=1.0; reach=1.2999999523162842; stagger=0.0</x:v>
      </x:c>
      <x:c r="I230" s="37" t="str">
        <x:v>47</x:v>
      </x:c>
      <x:c r="J230" s="37" t="str">
        <x:v>observed_patterns:weapon_numeric:Staff | Conjuration</x:v>
      </x:c>
      <x:c r="K230" s="37" t="str">
        <x:v>descriptive_frequency</x:v>
      </x:c>
      <x:c r="L230" s="37" t="str">
        <x:v>mixed_or_external_missing</x:v>
      </x:c>
      <x:c r="M230" s="37" t="str">
        <x:v>alternative_profiles_present</x:v>
      </x:c>
      <x:c r="N230" s="37" t="str">
        <x:v>10</x:v>
      </x:c>
      <x:c r="O230" s="37" t="str"/>
      <x:c r="P230" s="37" t="str">
        <x:v>53</x:v>
      </x:c>
      <x:c r="Q230" s="37" t="str">
        <x:v>medium</x:v>
      </x:c>
      <x:c r="R230" s="37" t="str">
        <x:v>review_required</x:v>
      </x:c>
      <x:c r="S230" s="37" t="str">
        <x:v>False</x:v>
      </x:c>
      <x:c r="T230" s="38" t="str">
        <x:v>Do not promote without scope review, exception review, and author-intent/baseline corroboration.</x:v>
      </x:c>
      <x:c r="U230" s="37" t="str">
        <x:v>80</x:v>
      </x:c>
      <x:c r="V230" s="37" t="str">
        <x:v>high</x:v>
      </x:c>
      <x:c r="W230" s="37" t="str">
        <x:v>48</x:v>
      </x:c>
      <x:c r="X230" s="37" t="str">
        <x:v>low</x:v>
      </x:c>
      <x:c r="Y230" s="37" t="str">
        <x:v>56</x:v>
      </x:c>
      <x:c r="Z230" s="37" t="str">
        <x:v>medium</x:v>
      </x:c>
      <x:c r="AA230" s="38" t="str">
        <x:v>alternative_profiles_present;baseline_incomplete</x:v>
      </x:c>
      <x:c r="AB230" s="37" t="str">
        <x:v>review_required</x:v>
      </x:c>
    </x:row>
    <x:row r="231">
      <x:c r="A231" s="37" t="str">
        <x:v>RC-0230</x:v>
      </x:c>
      <x:c r="B231" s="37" t="str">
        <x:v>weapon_numeric</x:v>
      </x:c>
      <x:c r="C231" s="37" t="str">
        <x:v>observed_pattern</x:v>
      </x:c>
      <x:c r="D231" s="37" t="str">
        <x:v>repeated_implementation_profile</x:v>
      </x:c>
      <x:c r="E231" s="37" t="str">
        <x:v>Mysticism</x:v>
      </x:c>
      <x:c r="F231" s="37" t="str">
        <x:v>MysticismMagic.esp</x:v>
      </x:c>
      <x:c r="G231" s="37" t="str">
        <x:v>main</x:v>
      </x:c>
      <x:c r="H231" s="38" t="str">
        <x:v>Within MysticismMagic.esp, the weapon_numeric implementation repeatedly uses: Staff | Destruction; observed center: damage=0.0; speed=1.0; reach=1.2999999523162842; stagger=0.0</x:v>
      </x:c>
      <x:c r="I231" s="37" t="str">
        <x:v>43</x:v>
      </x:c>
      <x:c r="J231" s="37" t="str">
        <x:v>observed_patterns:weapon_numeric:Staff | Destruction</x:v>
      </x:c>
      <x:c r="K231" s="37" t="str">
        <x:v>descriptive_frequency</x:v>
      </x:c>
      <x:c r="L231" s="37" t="str">
        <x:v>mixed_or_external_missing</x:v>
      </x:c>
      <x:c r="M231" s="37" t="str">
        <x:v>alternative_profiles_present</x:v>
      </x:c>
      <x:c r="N231" s="37" t="str">
        <x:v>10</x:v>
      </x:c>
      <x:c r="O231" s="37" t="str"/>
      <x:c r="P231" s="37" t="str">
        <x:v>53</x:v>
      </x:c>
      <x:c r="Q231" s="37" t="str">
        <x:v>medium</x:v>
      </x:c>
      <x:c r="R231" s="37" t="str">
        <x:v>review_required</x:v>
      </x:c>
      <x:c r="S231" s="37" t="str">
        <x:v>False</x:v>
      </x:c>
      <x:c r="T231" s="38" t="str">
        <x:v>Do not promote without scope review, exception review, and author-intent/baseline corroboration.</x:v>
      </x:c>
      <x:c r="U231" s="37" t="str">
        <x:v>80</x:v>
      </x:c>
      <x:c r="V231" s="37" t="str">
        <x:v>high</x:v>
      </x:c>
      <x:c r="W231" s="37" t="str">
        <x:v>48</x:v>
      </x:c>
      <x:c r="X231" s="37" t="str">
        <x:v>low</x:v>
      </x:c>
      <x:c r="Y231" s="37" t="str">
        <x:v>56</x:v>
      </x:c>
      <x:c r="Z231" s="37" t="str">
        <x:v>medium</x:v>
      </x:c>
      <x:c r="AA231" s="38" t="str">
        <x:v>alternative_profiles_present;baseline_incomplete</x:v>
      </x:c>
      <x:c r="AB231" s="37" t="str">
        <x:v>review_required</x:v>
      </x:c>
    </x:row>
    <x:row r="232">
      <x:c r="A232" s="37" t="str">
        <x:v>RC-0231</x:v>
      </x:c>
      <x:c r="B232" s="37" t="str">
        <x:v>weapon_numeric</x:v>
      </x:c>
      <x:c r="C232" s="37" t="str">
        <x:v>observed_pattern</x:v>
      </x:c>
      <x:c r="D232" s="37" t="str">
        <x:v>repeated_implementation_profile</x:v>
      </x:c>
      <x:c r="E232" s="37" t="str">
        <x:v>Mysticism</x:v>
      </x:c>
      <x:c r="F232" s="37" t="str">
        <x:v>MysticismMagic.esp</x:v>
      </x:c>
      <x:c r="G232" s="37" t="str">
        <x:v>main</x:v>
      </x:c>
      <x:c r="H232" s="38" t="str">
        <x:v>Within MysticismMagic.esp, the weapon_numeric implementation repeatedly uses: Staff | Illusion; observed center: damage=0.0; speed=1.0; reach=1.2999999523162842; stagger=0.0</x:v>
      </x:c>
      <x:c r="I232" s="37" t="str">
        <x:v>27</x:v>
      </x:c>
      <x:c r="J232" s="37" t="str">
        <x:v>observed_patterns:weapon_numeric:Staff | Illusion</x:v>
      </x:c>
      <x:c r="K232" s="37" t="str">
        <x:v>descriptive_frequency</x:v>
      </x:c>
      <x:c r="L232" s="37" t="str">
        <x:v>mixed_or_external_missing</x:v>
      </x:c>
      <x:c r="M232" s="37" t="str">
        <x:v>alternative_profiles_present</x:v>
      </x:c>
      <x:c r="N232" s="37" t="str">
        <x:v>10</x:v>
      </x:c>
      <x:c r="O232" s="37" t="str"/>
      <x:c r="P232" s="37" t="str">
        <x:v>53</x:v>
      </x:c>
      <x:c r="Q232" s="37" t="str">
        <x:v>medium</x:v>
      </x:c>
      <x:c r="R232" s="37" t="str">
        <x:v>review_required</x:v>
      </x:c>
      <x:c r="S232" s="37" t="str">
        <x:v>False</x:v>
      </x:c>
      <x:c r="T232" s="38" t="str">
        <x:v>Do not promote without scope review, exception review, and author-intent/baseline corroboration.</x:v>
      </x:c>
      <x:c r="U232" s="37" t="str">
        <x:v>80</x:v>
      </x:c>
      <x:c r="V232" s="37" t="str">
        <x:v>high</x:v>
      </x:c>
      <x:c r="W232" s="37" t="str">
        <x:v>48</x:v>
      </x:c>
      <x:c r="X232" s="37" t="str">
        <x:v>low</x:v>
      </x:c>
      <x:c r="Y232" s="37" t="str">
        <x:v>56</x:v>
      </x:c>
      <x:c r="Z232" s="37" t="str">
        <x:v>medium</x:v>
      </x:c>
      <x:c r="AA232" s="38" t="str">
        <x:v>alternative_profiles_present;baseline_incomplete</x:v>
      </x:c>
      <x:c r="AB232" s="37" t="str">
        <x:v>review_required</x:v>
      </x:c>
    </x:row>
    <x:row r="233">
      <x:c r="A233" s="37" t="str">
        <x:v>RC-0232</x:v>
      </x:c>
      <x:c r="B233" s="37" t="str">
        <x:v>weapon_numeric</x:v>
      </x:c>
      <x:c r="C233" s="37" t="str">
        <x:v>observed_pattern</x:v>
      </x:c>
      <x:c r="D233" s="37" t="str">
        <x:v>repeated_implementation_profile</x:v>
      </x:c>
      <x:c r="E233" s="37" t="str">
        <x:v>Mysticism</x:v>
      </x:c>
      <x:c r="F233" s="37" t="str">
        <x:v>MysticismMagic.esp</x:v>
      </x:c>
      <x:c r="G233" s="37" t="str">
        <x:v>main</x:v>
      </x:c>
      <x:c r="H233" s="38" t="str">
        <x:v>Within MysticismMagic.esp, the weapon_numeric implementation repeatedly uses: Staff | Restoration; observed center: damage=0.0; speed=1.0; reach=1.2999999523162842; stagger=0.0</x:v>
      </x:c>
      <x:c r="I233" s="37" t="str">
        <x:v>26</x:v>
      </x:c>
      <x:c r="J233" s="37" t="str">
        <x:v>observed_patterns:weapon_numeric:Staff | Restoration</x:v>
      </x:c>
      <x:c r="K233" s="37" t="str">
        <x:v>descriptive_frequency</x:v>
      </x:c>
      <x:c r="L233" s="37" t="str">
        <x:v>mixed_or_external_missing</x:v>
      </x:c>
      <x:c r="M233" s="37" t="str">
        <x:v>alternative_profiles_present</x:v>
      </x:c>
      <x:c r="N233" s="37" t="str">
        <x:v>10</x:v>
      </x:c>
      <x:c r="O233" s="37" t="str"/>
      <x:c r="P233" s="37" t="str">
        <x:v>53</x:v>
      </x:c>
      <x:c r="Q233" s="37" t="str">
        <x:v>medium</x:v>
      </x:c>
      <x:c r="R233" s="37" t="str">
        <x:v>review_required</x:v>
      </x:c>
      <x:c r="S233" s="37" t="str">
        <x:v>False</x:v>
      </x:c>
      <x:c r="T233" s="38" t="str">
        <x:v>Do not promote without scope review, exception review, and author-intent/baseline corroboration.</x:v>
      </x:c>
      <x:c r="U233" s="37" t="str">
        <x:v>80</x:v>
      </x:c>
      <x:c r="V233" s="37" t="str">
        <x:v>high</x:v>
      </x:c>
      <x:c r="W233" s="37" t="str">
        <x:v>48</x:v>
      </x:c>
      <x:c r="X233" s="37" t="str">
        <x:v>low</x:v>
      </x:c>
      <x:c r="Y233" s="37" t="str">
        <x:v>56</x:v>
      </x:c>
      <x:c r="Z233" s="37" t="str">
        <x:v>medium</x:v>
      </x:c>
      <x:c r="AA233" s="38" t="str">
        <x:v>alternative_profiles_present;baseline_incomplete</x:v>
      </x:c>
      <x:c r="AB233" s="37" t="str">
        <x:v>review_required</x:v>
      </x:c>
    </x:row>
    <x:row r="234">
      <x:c r="A234" s="37" t="str">
        <x:v>RC-0233</x:v>
      </x:c>
      <x:c r="B234" s="37" t="str">
        <x:v>weapon_numeric</x:v>
      </x:c>
      <x:c r="C234" s="37" t="str">
        <x:v>observed_pattern</x:v>
      </x:c>
      <x:c r="D234" s="37" t="str">
        <x:v>repeated_implementation_profile</x:v>
      </x:c>
      <x:c r="E234" s="37" t="str">
        <x:v>Mysticism</x:v>
      </x:c>
      <x:c r="F234" s="37" t="str">
        <x:v>MysticismMagic.esp</x:v>
      </x:c>
      <x:c r="G234" s="37" t="str">
        <x:v>main</x:v>
      </x:c>
      <x:c r="H234" s="38" t="str">
        <x:v>Within MysticismMagic.esp, the weapon_numeric implementation repeatedly uses: TwoHandAxe | TwoHanded; observed center: damage=21.0; speed=0.6500000059604645; reach=1.2999999523162842; stagger=1.199999988079071</x:v>
      </x:c>
      <x:c r="I234" s="37" t="str">
        <x:v>6</x:v>
      </x:c>
      <x:c r="J234" s="37" t="str">
        <x:v>observed_patterns:weapon_numeric:TwoHandAxe | TwoHanded</x:v>
      </x:c>
      <x:c r="K234" s="37" t="str">
        <x:v>descriptive_frequency</x:v>
      </x:c>
      <x:c r="L234" s="37" t="str">
        <x:v>mixed_or_external_missing</x:v>
      </x:c>
      <x:c r="M234" s="37" t="str">
        <x:v>alternative_profiles_present</x:v>
      </x:c>
      <x:c r="N234" s="37" t="str">
        <x:v>10</x:v>
      </x:c>
      <x:c r="O234" s="37" t="str"/>
      <x:c r="P234" s="37" t="str">
        <x:v>42</x:v>
      </x:c>
      <x:c r="Q234" s="37" t="str">
        <x:v>low</x:v>
      </x:c>
      <x:c r="R234" s="37" t="str">
        <x:v>review_required</x:v>
      </x:c>
      <x:c r="S234" s="37" t="str">
        <x:v>False</x:v>
      </x:c>
      <x:c r="T234" s="38" t="str">
        <x:v>Do not promote without scope review, exception review, and author-intent/baseline corroboration.</x:v>
      </x:c>
      <x:c r="U234" s="37" t="str">
        <x:v>62</x:v>
      </x:c>
      <x:c r="V234" s="37" t="str">
        <x:v>medium</x:v>
      </x:c>
      <x:c r="W234" s="37" t="str">
        <x:v>48</x:v>
      </x:c>
      <x:c r="X234" s="37" t="str">
        <x:v>low</x:v>
      </x:c>
      <x:c r="Y234" s="37" t="str">
        <x:v>46</x:v>
      </x:c>
      <x:c r="Z234" s="37" t="str">
        <x:v>low</x:v>
      </x:c>
      <x:c r="AA234" s="38" t="str">
        <x:v>alternative_profiles_present;baseline_incomplete</x:v>
      </x:c>
      <x:c r="AB234" s="37" t="str">
        <x:v>review_required</x:v>
      </x:c>
    </x:row>
    <x:row r="235">
      <x:c r="A235" s="37" t="str">
        <x:v>RC-0234</x:v>
      </x:c>
      <x:c r="B235" s="37" t="str">
        <x:v>weapon_numeric</x:v>
      </x:c>
      <x:c r="C235" s="37" t="str">
        <x:v>observed_pattern</x:v>
      </x:c>
      <x:c r="D235" s="37" t="str">
        <x:v>repeated_implementation_profile</x:v>
      </x:c>
      <x:c r="E235" s="37" t="str">
        <x:v>Mysticism</x:v>
      </x:c>
      <x:c r="F235" s="37" t="str">
        <x:v>MysticismMagic.esp</x:v>
      </x:c>
      <x:c r="G235" s="37" t="str">
        <x:v>main</x:v>
      </x:c>
      <x:c r="H235" s="38" t="str">
        <x:v>Within MysticismMagic.esp, the weapon_numeric implementation repeatedly uses: TwoHandSword | TwoHanded; observed center: damage=20.0; speed=0.75; reach=1.2999999523162842; stagger=1.100000023841858</x:v>
      </x:c>
      <x:c r="I235" s="37" t="str">
        <x:v>3</x:v>
      </x:c>
      <x:c r="J235" s="37" t="str">
        <x:v>observed_patterns:weapon_numeric:TwoHandSword | TwoHanded</x:v>
      </x:c>
      <x:c r="K235" s="37" t="str">
        <x:v>descriptive_frequency</x:v>
      </x:c>
      <x:c r="L235" s="37" t="str">
        <x:v>mixed_or_external_missing</x:v>
      </x:c>
      <x:c r="M235" s="37" t="str">
        <x:v>alternative_profiles_present</x:v>
      </x:c>
      <x:c r="N235" s="37" t="str">
        <x:v>10</x:v>
      </x:c>
      <x:c r="O235" s="37" t="str"/>
      <x:c r="P235" s="37" t="str">
        <x:v>36</x:v>
      </x:c>
      <x:c r="Q235" s="37" t="str">
        <x:v>low</x:v>
      </x:c>
      <x:c r="R235" s="37" t="str">
        <x:v>review_required</x:v>
      </x:c>
      <x:c r="S235" s="37" t="str">
        <x:v>False</x:v>
      </x:c>
      <x:c r="T235" s="38" t="str">
        <x:v>Do not promote without scope review, exception review, and author-intent/baseline corroboration.</x:v>
      </x:c>
      <x:c r="U235" s="37" t="str">
        <x:v>55</x:v>
      </x:c>
      <x:c r="V235" s="37" t="str">
        <x:v>medium</x:v>
      </x:c>
      <x:c r="W235" s="37" t="str">
        <x:v>48</x:v>
      </x:c>
      <x:c r="X235" s="37" t="str">
        <x:v>low</x:v>
      </x:c>
      <x:c r="Y235" s="37" t="str">
        <x:v>42</x:v>
      </x:c>
      <x:c r="Z235" s="37" t="str">
        <x:v>low</x:v>
      </x:c>
      <x:c r="AA235" s="38" t="str">
        <x:v>alternative_profiles_present;baseline_incomplete</x:v>
      </x:c>
      <x:c r="AB235" s="37" t="str">
        <x:v>review_required</x:v>
      </x:c>
    </x:row>
    <x:row r="236">
      <x:c r="A236" s="37" t="str">
        <x:v>RC-0235</x:v>
      </x:c>
      <x:c r="B236" s="37" t="str">
        <x:v>projectile_delivery</x:v>
      </x:c>
      <x:c r="C236" s="37" t="str">
        <x:v>observed_pattern</x:v>
      </x:c>
      <x:c r="D236" s="37" t="str">
        <x:v>repeated_implementation_profile</x:v>
      </x:c>
      <x:c r="E236" s="37" t="str">
        <x:v>Adamant;Mysticism</x:v>
      </x:c>
      <x:c r="F236" s="37" t="str">
        <x:v>Adamant.esp;MysticismMagic.esp</x:v>
      </x:c>
      <x:c r="G236" s="37" t="str">
        <x:v>main;main</x:v>
      </x:c>
      <x:c r="H236" s="38" t="str">
        <x:v>Within Adamant.esp, MysticismMagic.esp, the projectile_delivery implementation repeatedly uses: projectile_type_name=Lobber | gravity=0.0 | speed=1000.0 | range=10000.0 | impact_force=0.0 | collision_radius=50.0 | lifetime=0.0</x:v>
      </x:c>
      <x:c r="I236" s="37" t="str">
        <x:v>37</x:v>
      </x:c>
      <x:c r="J236" s="37" t="str">
        <x:v>observed_patterns:projectile_delivery:projectile_type_name=Lobber | gravity=0.0 | speed=1000.0 | range=10000.0 | impact_force=0.0 | collision_radius=50.0 | lifetime=0.0</x:v>
      </x:c>
      <x:c r="K236" s="37" t="str">
        <x:v>exact_repeated_typed_profile</x:v>
      </x:c>
      <x:c r="L236" s="37" t="str">
        <x:v>mixed_or_external_missing</x:v>
      </x:c>
      <x:c r="M236" s="37" t="str">
        <x:v>no_alternative_profile_in_current_grouping</x:v>
      </x:c>
      <x:c r="N236" s="37" t="str">
        <x:v>0</x:v>
      </x:c>
      <x:c r="O236" s="37" t="str"/>
      <x:c r="P236" s="37" t="str">
        <x:v>53</x:v>
      </x:c>
      <x:c r="Q236" s="37" t="str">
        <x:v>medium</x:v>
      </x:c>
      <x:c r="R236" s="37" t="str">
        <x:v>review_required</x:v>
      </x:c>
      <x:c r="S236" s="37" t="str">
        <x:v>False</x:v>
      </x:c>
      <x:c r="T236" s="38" t="str">
        <x:v>Do not promote without scope review, exception review, and author-intent/baseline corroboration.</x:v>
      </x:c>
      <x:c r="U236" s="37" t="str">
        <x:v>85</x:v>
      </x:c>
      <x:c r="V236" s="37" t="str">
        <x:v>high</x:v>
      </x:c>
      <x:c r="W236" s="37" t="str">
        <x:v>40</x:v>
      </x:c>
      <x:c r="X236" s="37" t="str">
        <x:v>low</x:v>
      </x:c>
      <x:c r="Y236" s="37" t="str">
        <x:v>60</x:v>
      </x:c>
      <x:c r="Z236" s="37" t="str">
        <x:v>medium</x:v>
      </x:c>
      <x:c r="AA236" s="38" t="str">
        <x:v>baseline_incomplete</x:v>
      </x:c>
      <x:c r="AB236" s="37" t="str">
        <x:v>review_required</x:v>
      </x:c>
    </x:row>
    <x:row r="237">
      <x:c r="A237" s="37" t="str">
        <x:v>RC-0236</x:v>
      </x:c>
      <x:c r="B237" s="37" t="str">
        <x:v>projectile_delivery</x:v>
      </x:c>
      <x:c r="C237" s="37" t="str">
        <x:v>observed_pattern</x:v>
      </x:c>
      <x:c r="D237" s="37" t="str">
        <x:v>repeated_implementation_profile</x:v>
      </x:c>
      <x:c r="E237" s="37" t="str">
        <x:v>Mysticism</x:v>
      </x:c>
      <x:c r="F237" s="37" t="str">
        <x:v>MysticismMagic.esp</x:v>
      </x:c>
      <x:c r="G237" s="37" t="str">
        <x:v>main</x:v>
      </x:c>
      <x:c r="H237" s="38" t="str">
        <x:v>Within MysticismMagic.esp, the projectile_delivery implementation repeatedly uses: projectile_type_name=Flame | gravity=0.0 | speed=1000.0 | range=768.0 | impact_force=5.0 | collision_radius=10.0 | lifetime=0.0</x:v>
      </x:c>
      <x:c r="I237" s="37" t="str">
        <x:v>4</x:v>
      </x:c>
      <x:c r="J237" s="37" t="str">
        <x:v>observed_patterns:projectile_delivery:projectile_type_name=Flame | gravity=0.0 | speed=1000.0 | range=768.0 | impact_force=5.0 | collision_radius=10.0 | lifetime=0.0</x:v>
      </x:c>
      <x:c r="K237" s="37" t="str">
        <x:v>exact_repeated_typed_profile</x:v>
      </x:c>
      <x:c r="L237" s="37" t="str">
        <x:v>mixed_or_external_missing</x:v>
      </x:c>
      <x:c r="M237" s="37" t="str">
        <x:v>alternative_profiles_present</x:v>
      </x:c>
      <x:c r="N237" s="37" t="str">
        <x:v>2</x:v>
      </x:c>
      <x:c r="O237" s="37" t="str"/>
      <x:c r="P237" s="37" t="str">
        <x:v>36</x:v>
      </x:c>
      <x:c r="Q237" s="37" t="str">
        <x:v>low</x:v>
      </x:c>
      <x:c r="R237" s="37" t="str">
        <x:v>review_required</x:v>
      </x:c>
      <x:c r="S237" s="37" t="str">
        <x:v>False</x:v>
      </x:c>
      <x:c r="T237" s="38" t="str">
        <x:v>Do not promote without scope review, exception review, and author-intent/baseline corroboration.</x:v>
      </x:c>
      <x:c r="U237" s="37" t="str">
        <x:v>60</x:v>
      </x:c>
      <x:c r="V237" s="37" t="str">
        <x:v>medium</x:v>
      </x:c>
      <x:c r="W237" s="37" t="str">
        <x:v>40</x:v>
      </x:c>
      <x:c r="X237" s="37" t="str">
        <x:v>low</x:v>
      </x:c>
      <x:c r="Y237" s="37" t="str">
        <x:v>41</x:v>
      </x:c>
      <x:c r="Z237" s="37" t="str">
        <x:v>low</x:v>
      </x:c>
      <x:c r="AA237" s="38" t="str">
        <x:v>alternative_profiles_present;baseline_incomplete</x:v>
      </x:c>
      <x:c r="AB237" s="37" t="str">
        <x:v>review_required</x:v>
      </x:c>
    </x:row>
    <x:row r="238">
      <x:c r="A238" s="37" t="str">
        <x:v>RC-0237</x:v>
      </x:c>
      <x:c r="B238" s="37" t="str">
        <x:v>projectile_delivery</x:v>
      </x:c>
      <x:c r="C238" s="37" t="str">
        <x:v>observed_pattern</x:v>
      </x:c>
      <x:c r="D238" s="37" t="str">
        <x:v>repeated_implementation_profile</x:v>
      </x:c>
      <x:c r="E238" s="37" t="str">
        <x:v>Mysticism</x:v>
      </x:c>
      <x:c r="F238" s="37" t="str">
        <x:v>MysticismMagic.esp</x:v>
      </x:c>
      <x:c r="G238" s="37" t="str">
        <x:v>main</x:v>
      </x:c>
      <x:c r="H238" s="38" t="str">
        <x:v>Within MysticismMagic.esp, the projectile_delivery implementation repeatedly uses: projectile_type_name=Missile | gravity=0.15000000596046448 | speed=1800.0 | range=10000.0 | impact_force=0.0 | collision_radius=10.0 | lifetime=0.0</x:v>
      </x:c>
      <x:c r="I238" s="37" t="str">
        <x:v>3</x:v>
      </x:c>
      <x:c r="J238" s="37" t="str">
        <x:v>observed_patterns:projectile_delivery:projectile_type_name=Missile | gravity=0.15000000596046448 | speed=1800.0 | range=10000.0 | impact_force=0.0 | collision_radius=10.0 | lifetime=0.0</x:v>
      </x:c>
      <x:c r="K238" s="37" t="str">
        <x:v>exact_repeated_typed_profile</x:v>
      </x:c>
      <x:c r="L238" s="37" t="str">
        <x:v>mixed_or_external_missing</x:v>
      </x:c>
      <x:c r="M238" s="37" t="str">
        <x:v>alternative_profiles_present</x:v>
      </x:c>
      <x:c r="N238" s="37" t="str">
        <x:v>2</x:v>
      </x:c>
      <x:c r="O238" s="37" t="str"/>
      <x:c r="P238" s="37" t="str">
        <x:v>36</x:v>
      </x:c>
      <x:c r="Q238" s="37" t="str">
        <x:v>low</x:v>
      </x:c>
      <x:c r="R238" s="37" t="str">
        <x:v>review_required</x:v>
      </x:c>
      <x:c r="S238" s="37" t="str">
        <x:v>False</x:v>
      </x:c>
      <x:c r="T238" s="38" t="str">
        <x:v>Do not promote without scope review, exception review, and author-intent/baseline corroboration.</x:v>
      </x:c>
      <x:c r="U238" s="37" t="str">
        <x:v>60</x:v>
      </x:c>
      <x:c r="V238" s="37" t="str">
        <x:v>medium</x:v>
      </x:c>
      <x:c r="W238" s="37" t="str">
        <x:v>40</x:v>
      </x:c>
      <x:c r="X238" s="37" t="str">
        <x:v>low</x:v>
      </x:c>
      <x:c r="Y238" s="37" t="str">
        <x:v>41</x:v>
      </x:c>
      <x:c r="Z238" s="37" t="str">
        <x:v>low</x:v>
      </x:c>
      <x:c r="AA238" s="38" t="str">
        <x:v>alternative_profiles_present;baseline_incomplete</x:v>
      </x:c>
      <x:c r="AB238" s="37" t="str">
        <x:v>review_required</x:v>
      </x:c>
    </x:row>
    <x:row r="239">
      <x:c r="A239" s="37" t="str">
        <x:v>RC-0238</x:v>
      </x:c>
      <x:c r="B239" s="37" t="str">
        <x:v>projectile_delivery</x:v>
      </x:c>
      <x:c r="C239" s="37" t="str">
        <x:v>observed_pattern</x:v>
      </x:c>
      <x:c r="D239" s="37" t="str">
        <x:v>repeated_implementation_profile</x:v>
      </x:c>
      <x:c r="E239" s="37" t="str">
        <x:v>Mysticism</x:v>
      </x:c>
      <x:c r="F239" s="37" t="str">
        <x:v>MysticismMagic.esp</x:v>
      </x:c>
      <x:c r="G239" s="37" t="str">
        <x:v>main</x:v>
      </x:c>
      <x:c r="H239" s="38" t="str">
        <x:v>Within MysticismMagic.esp, the projectile_delivery implementation repeatedly uses: projectile_type_name=Flame | gravity=0.0 | speed=20000.0 | range=768.0 | impact_force=5.0 | collision_radius=10.0 | lifetime=0.0</x:v>
      </x:c>
      <x:c r="I239" s="37" t="str">
        <x:v>4</x:v>
      </x:c>
      <x:c r="J239" s="37" t="str">
        <x:v>observed_patterns:projectile_delivery:projectile_type_name=Flame | gravity=0.0 | speed=20000.0 | range=768.0 | impact_force=5.0 | collision_radius=10.0 | lifetime=0.0</x:v>
      </x:c>
      <x:c r="K239" s="37" t="str">
        <x:v>exact_repeated_typed_profile</x:v>
      </x:c>
      <x:c r="L239" s="37" t="str">
        <x:v>mixed_or_external_missing</x:v>
      </x:c>
      <x:c r="M239" s="37" t="str">
        <x:v>alternative_profiles_present</x:v>
      </x:c>
      <x:c r="N239" s="37" t="str">
        <x:v>2</x:v>
      </x:c>
      <x:c r="O239" s="37" t="str"/>
      <x:c r="P239" s="37" t="str">
        <x:v>36</x:v>
      </x:c>
      <x:c r="Q239" s="37" t="str">
        <x:v>low</x:v>
      </x:c>
      <x:c r="R239" s="37" t="str">
        <x:v>review_required</x:v>
      </x:c>
      <x:c r="S239" s="37" t="str">
        <x:v>False</x:v>
      </x:c>
      <x:c r="T239" s="38" t="str">
        <x:v>Do not promote without scope review, exception review, and author-intent/baseline corroboration.</x:v>
      </x:c>
      <x:c r="U239" s="37" t="str">
        <x:v>60</x:v>
      </x:c>
      <x:c r="V239" s="37" t="str">
        <x:v>medium</x:v>
      </x:c>
      <x:c r="W239" s="37" t="str">
        <x:v>40</x:v>
      </x:c>
      <x:c r="X239" s="37" t="str">
        <x:v>low</x:v>
      </x:c>
      <x:c r="Y239" s="37" t="str">
        <x:v>41</x:v>
      </x:c>
      <x:c r="Z239" s="37" t="str">
        <x:v>low</x:v>
      </x:c>
      <x:c r="AA239" s="38" t="str">
        <x:v>alternative_profiles_present;baseline_incomplete</x:v>
      </x:c>
      <x:c r="AB239" s="37" t="str">
        <x:v>review_required</x:v>
      </x:c>
    </x:row>
    <x:row r="240">
      <x:c r="A240" s="37" t="str">
        <x:v>RC-0239</x:v>
      </x:c>
      <x:c r="B240" s="37" t="str">
        <x:v>explosion_delivery</x:v>
      </x:c>
      <x:c r="C240" s="37" t="str">
        <x:v>observed_pattern</x:v>
      </x:c>
      <x:c r="D240" s="37" t="str">
        <x:v>repeated_implementation_profile</x:v>
      </x:c>
      <x:c r="E240" s="37" t="str">
        <x:v>Adamant;Mysticism</x:v>
      </x:c>
      <x:c r="F240" s="37" t="str">
        <x:v>Adamant.esp;MysticismMagic.esp</x:v>
      </x:c>
      <x:c r="G240" s="37" t="str">
        <x:v>main;main</x:v>
      </x:c>
      <x:c r="H240" s="38" t="str">
        <x:v>Within Adamant.esp, MysticismMagic.esp, the explosion_delivery implementation repeatedly uses: force=1.0 | damage=0.0 | radius=400.0 | flags_raw=65 | sound_level_raw=1</x:v>
      </x:c>
      <x:c r="I240" s="37" t="str">
        <x:v>5</x:v>
      </x:c>
      <x:c r="J240" s="37" t="str">
        <x:v>observed_patterns:explosion_delivery:force=1.0 | damage=0.0 | radius=400.0 | flags_raw=65 | sound_level_raw=1</x:v>
      </x:c>
      <x:c r="K240" s="37" t="str">
        <x:v>exact_repeated_typed_profile</x:v>
      </x:c>
      <x:c r="L240" s="37" t="str">
        <x:v>mixed_or_external_missing</x:v>
      </x:c>
      <x:c r="M240" s="37" t="str">
        <x:v>alternative_profiles_present</x:v>
      </x:c>
      <x:c r="N240" s="37" t="str">
        <x:v>1</x:v>
      </x:c>
      <x:c r="O240" s="37" t="str"/>
      <x:c r="P240" s="37" t="str">
        <x:v>42</x:v>
      </x:c>
      <x:c r="Q240" s="37" t="str">
        <x:v>low</x:v>
      </x:c>
      <x:c r="R240" s="37" t="str">
        <x:v>review_required</x:v>
      </x:c>
      <x:c r="S240" s="37" t="str">
        <x:v>False</x:v>
      </x:c>
      <x:c r="T240" s="38" t="str">
        <x:v>Do not promote without scope review, exception review, and author-intent/baseline corroboration.</x:v>
      </x:c>
      <x:c r="U240" s="37" t="str">
        <x:v>67</x:v>
      </x:c>
      <x:c r="V240" s="37" t="str">
        <x:v>medium</x:v>
      </x:c>
      <x:c r="W240" s="37" t="str">
        <x:v>40</x:v>
      </x:c>
      <x:c r="X240" s="37" t="str">
        <x:v>low</x:v>
      </x:c>
      <x:c r="Y240" s="37" t="str">
        <x:v>45</x:v>
      </x:c>
      <x:c r="Z240" s="37" t="str">
        <x:v>low</x:v>
      </x:c>
      <x:c r="AA240" s="38" t="str">
        <x:v>alternative_profiles_present;baseline_incomplete</x:v>
      </x:c>
      <x:c r="AB240" s="37" t="str">
        <x:v>review_required</x:v>
      </x:c>
    </x:row>
    <x:row r="241">
      <x:c r="A241" s="37" t="str">
        <x:v>RC-0240</x:v>
      </x:c>
      <x:c r="B241" s="37" t="str">
        <x:v>explosion_delivery</x:v>
      </x:c>
      <x:c r="C241" s="37" t="str">
        <x:v>observed_pattern</x:v>
      </x:c>
      <x:c r="D241" s="37" t="str">
        <x:v>repeated_implementation_profile</x:v>
      </x:c>
      <x:c r="E241" s="37" t="str">
        <x:v>Adamant;Mysticism</x:v>
      </x:c>
      <x:c r="F241" s="37" t="str">
        <x:v>Adamant.esp;MysticismMagic.esp</x:v>
      </x:c>
      <x:c r="G241" s="37" t="str">
        <x:v>main;main</x:v>
      </x:c>
      <x:c r="H241" s="38" t="str">
        <x:v>Within Adamant.esp, MysticismMagic.esp, the explosion_delivery implementation repeatedly uses: force=0.0 | damage=0.0 | radius=320.0 | flags_raw=81 | sound_level_raw=2</x:v>
      </x:c>
      <x:c r="I241" s="37" t="str">
        <x:v>10</x:v>
      </x:c>
      <x:c r="J241" s="37" t="str">
        <x:v>observed_patterns:explosion_delivery:force=0.0 | damage=0.0 | radius=320.0 | flags_raw=81 | sound_level_raw=2</x:v>
      </x:c>
      <x:c r="K241" s="37" t="str">
        <x:v>exact_repeated_typed_profile</x:v>
      </x:c>
      <x:c r="L241" s="37" t="str">
        <x:v>mixed_or_external_missing</x:v>
      </x:c>
      <x:c r="M241" s="37" t="str">
        <x:v>alternative_profiles_present</x:v>
      </x:c>
      <x:c r="N241" s="37" t="str">
        <x:v>1</x:v>
      </x:c>
      <x:c r="O241" s="37" t="str"/>
      <x:c r="P241" s="37" t="str">
        <x:v>48</x:v>
      </x:c>
      <x:c r="Q241" s="37" t="str">
        <x:v>low</x:v>
      </x:c>
      <x:c r="R241" s="37" t="str">
        <x:v>review_required</x:v>
      </x:c>
      <x:c r="S241" s="37" t="str">
        <x:v>False</x:v>
      </x:c>
      <x:c r="T241" s="38" t="str">
        <x:v>Do not promote without scope review, exception review, and author-intent/baseline corroboration.</x:v>
      </x:c>
      <x:c r="U241" s="37" t="str">
        <x:v>75</x:v>
      </x:c>
      <x:c r="V241" s="37" t="str">
        <x:v>high</x:v>
      </x:c>
      <x:c r="W241" s="37" t="str">
        <x:v>40</x:v>
      </x:c>
      <x:c r="X241" s="37" t="str">
        <x:v>low</x:v>
      </x:c>
      <x:c r="Y241" s="37" t="str">
        <x:v>49</x:v>
      </x:c>
      <x:c r="Z241" s="37" t="str">
        <x:v>low</x:v>
      </x:c>
      <x:c r="AA241" s="38" t="str">
        <x:v>alternative_profiles_present;baseline_incomplete</x:v>
      </x:c>
      <x:c r="AB241" s="37" t="str">
        <x:v>review_required</x:v>
      </x:c>
    </x:row>
    <x:row r="242">
      <x:c r="A242" s="37" t="str">
        <x:v>RC-0241</x:v>
      </x:c>
      <x:c r="B242" s="37" t="str">
        <x:v>explosion_delivery</x:v>
      </x:c>
      <x:c r="C242" s="37" t="str">
        <x:v>observed_pattern</x:v>
      </x:c>
      <x:c r="D242" s="37" t="str">
        <x:v>repeated_implementation_profile</x:v>
      </x:c>
      <x:c r="E242" s="37" t="str">
        <x:v>Mysticism</x:v>
      </x:c>
      <x:c r="F242" s="37" t="str">
        <x:v>MysticismMagic.esp</x:v>
      </x:c>
      <x:c r="G242" s="37" t="str">
        <x:v>main</x:v>
      </x:c>
      <x:c r="H242" s="38" t="str">
        <x:v>Within MysticismMagic.esp, the explosion_delivery implementation repeatedly uses: force=25.0 | damage=0.0 | radius=320.0 | flags_raw=81 | sound_level_raw=1</x:v>
      </x:c>
      <x:c r="I242" s="37" t="str">
        <x:v>4</x:v>
      </x:c>
      <x:c r="J242" s="37" t="str">
        <x:v>observed_patterns:explosion_delivery:force=25.0 | damage=0.0 | radius=320.0 | flags_raw=81 | sound_level_raw=1</x:v>
      </x:c>
      <x:c r="K242" s="37" t="str">
        <x:v>exact_repeated_typed_profile</x:v>
      </x:c>
      <x:c r="L242" s="37" t="str">
        <x:v>mixed_or_external_missing</x:v>
      </x:c>
      <x:c r="M242" s="37" t="str">
        <x:v>alternative_profiles_present</x:v>
      </x:c>
      <x:c r="N242" s="37" t="str">
        <x:v>7</x:v>
      </x:c>
      <x:c r="O242" s="37" t="str"/>
      <x:c r="P242" s="37" t="str">
        <x:v>36</x:v>
      </x:c>
      <x:c r="Q242" s="37" t="str">
        <x:v>low</x:v>
      </x:c>
      <x:c r="R242" s="37" t="str">
        <x:v>review_required</x:v>
      </x:c>
      <x:c r="S242" s="37" t="str">
        <x:v>False</x:v>
      </x:c>
      <x:c r="T242" s="38" t="str">
        <x:v>Do not promote without scope review, exception review, and author-intent/baseline corroboration.</x:v>
      </x:c>
      <x:c r="U242" s="37" t="str">
        <x:v>60</x:v>
      </x:c>
      <x:c r="V242" s="37" t="str">
        <x:v>medium</x:v>
      </x:c>
      <x:c r="W242" s="37" t="str">
        <x:v>40</x:v>
      </x:c>
      <x:c r="X242" s="37" t="str">
        <x:v>low</x:v>
      </x:c>
      <x:c r="Y242" s="37" t="str">
        <x:v>41</x:v>
      </x:c>
      <x:c r="Z242" s="37" t="str">
        <x:v>low</x:v>
      </x:c>
      <x:c r="AA242" s="38" t="str">
        <x:v>alternative_profiles_present;baseline_incomplete</x:v>
      </x:c>
      <x:c r="AB242" s="37" t="str">
        <x:v>review_required</x:v>
      </x:c>
    </x:row>
    <x:row r="243">
      <x:c r="A243" s="37" t="str">
        <x:v>RC-0242</x:v>
      </x:c>
      <x:c r="B243" s="37" t="str">
        <x:v>explosion_delivery</x:v>
      </x:c>
      <x:c r="C243" s="37" t="str">
        <x:v>observed_pattern</x:v>
      </x:c>
      <x:c r="D243" s="37" t="str">
        <x:v>repeated_implementation_profile</x:v>
      </x:c>
      <x:c r="E243" s="37" t="str">
        <x:v>Mysticism</x:v>
      </x:c>
      <x:c r="F243" s="37" t="str">
        <x:v>MysticismMagic.esp</x:v>
      </x:c>
      <x:c r="G243" s="37" t="str">
        <x:v>main</x:v>
      </x:c>
      <x:c r="H243" s="38" t="str">
        <x:v>Within MysticismMagic.esp, the explosion_delivery implementation repeatedly uses: force=5.0 | damage=0.0 | radius=320.0 | flags_raw=81 | sound_level_raw=1</x:v>
      </x:c>
      <x:c r="I243" s="37" t="str">
        <x:v>3</x:v>
      </x:c>
      <x:c r="J243" s="37" t="str">
        <x:v>observed_patterns:explosion_delivery:force=5.0 | damage=0.0 | radius=320.0 | flags_raw=81 | sound_level_raw=1</x:v>
      </x:c>
      <x:c r="K243" s="37" t="str">
        <x:v>exact_repeated_typed_profile</x:v>
      </x:c>
      <x:c r="L243" s="37" t="str">
        <x:v>mixed_or_external_missing</x:v>
      </x:c>
      <x:c r="M243" s="37" t="str">
        <x:v>alternative_profiles_present</x:v>
      </x:c>
      <x:c r="N243" s="37" t="str">
        <x:v>7</x:v>
      </x:c>
      <x:c r="O243" s="37" t="str"/>
      <x:c r="P243" s="37" t="str">
        <x:v>36</x:v>
      </x:c>
      <x:c r="Q243" s="37" t="str">
        <x:v>low</x:v>
      </x:c>
      <x:c r="R243" s="37" t="str">
        <x:v>review_required</x:v>
      </x:c>
      <x:c r="S243" s="37" t="str">
        <x:v>False</x:v>
      </x:c>
      <x:c r="T243" s="38" t="str">
        <x:v>Do not promote without scope review, exception review, and author-intent/baseline corroboration.</x:v>
      </x:c>
      <x:c r="U243" s="37" t="str">
        <x:v>60</x:v>
      </x:c>
      <x:c r="V243" s="37" t="str">
        <x:v>medium</x:v>
      </x:c>
      <x:c r="W243" s="37" t="str">
        <x:v>40</x:v>
      </x:c>
      <x:c r="X243" s="37" t="str">
        <x:v>low</x:v>
      </x:c>
      <x:c r="Y243" s="37" t="str">
        <x:v>41</x:v>
      </x:c>
      <x:c r="Z243" s="37" t="str">
        <x:v>low</x:v>
      </x:c>
      <x:c r="AA243" s="38" t="str">
        <x:v>alternative_profiles_present;baseline_incomplete</x:v>
      </x:c>
      <x:c r="AB243" s="37" t="str">
        <x:v>review_required</x:v>
      </x:c>
    </x:row>
    <x:row r="244">
      <x:c r="A244" s="37" t="str">
        <x:v>RC-0243</x:v>
      </x:c>
      <x:c r="B244" s="37" t="str">
        <x:v>explosion_delivery</x:v>
      </x:c>
      <x:c r="C244" s="37" t="str">
        <x:v>observed_pattern</x:v>
      </x:c>
      <x:c r="D244" s="37" t="str">
        <x:v>repeated_implementation_profile</x:v>
      </x:c>
      <x:c r="E244" s="37" t="str">
        <x:v>Mysticism</x:v>
      </x:c>
      <x:c r="F244" s="37" t="str">
        <x:v>MysticismMagic.esp</x:v>
      </x:c>
      <x:c r="G244" s="37" t="str">
        <x:v>main</x:v>
      </x:c>
      <x:c r="H244" s="38" t="str">
        <x:v>Within MysticismMagic.esp, the explosion_delivery implementation repeatedly uses: force=1.0 | damage=0.0 | radius=1024.0 | flags_raw=65 | sound_level_raw=1</x:v>
      </x:c>
      <x:c r="I244" s="37" t="str">
        <x:v>3</x:v>
      </x:c>
      <x:c r="J244" s="37" t="str">
        <x:v>observed_patterns:explosion_delivery:force=1.0 | damage=0.0 | radius=1024.0 | flags_raw=65 | sound_level_raw=1</x:v>
      </x:c>
      <x:c r="K244" s="37" t="str">
        <x:v>exact_repeated_typed_profile</x:v>
      </x:c>
      <x:c r="L244" s="37" t="str">
        <x:v>mixed_or_external_missing</x:v>
      </x:c>
      <x:c r="M244" s="37" t="str">
        <x:v>alternative_profiles_present</x:v>
      </x:c>
      <x:c r="N244" s="37" t="str">
        <x:v>7</x:v>
      </x:c>
      <x:c r="O244" s="37" t="str"/>
      <x:c r="P244" s="37" t="str">
        <x:v>36</x:v>
      </x:c>
      <x:c r="Q244" s="37" t="str">
        <x:v>low</x:v>
      </x:c>
      <x:c r="R244" s="37" t="str">
        <x:v>review_required</x:v>
      </x:c>
      <x:c r="S244" s="37" t="str">
        <x:v>False</x:v>
      </x:c>
      <x:c r="T244" s="38" t="str">
        <x:v>Do not promote without scope review, exception review, and author-intent/baseline corroboration.</x:v>
      </x:c>
      <x:c r="U244" s="37" t="str">
        <x:v>60</x:v>
      </x:c>
      <x:c r="V244" s="37" t="str">
        <x:v>medium</x:v>
      </x:c>
      <x:c r="W244" s="37" t="str">
        <x:v>40</x:v>
      </x:c>
      <x:c r="X244" s="37" t="str">
        <x:v>low</x:v>
      </x:c>
      <x:c r="Y244" s="37" t="str">
        <x:v>41</x:v>
      </x:c>
      <x:c r="Z244" s="37" t="str">
        <x:v>low</x:v>
      </x:c>
      <x:c r="AA244" s="38" t="str">
        <x:v>alternative_profiles_present;baseline_incomplete</x:v>
      </x:c>
      <x:c r="AB244" s="37" t="str">
        <x:v>review_required</x:v>
      </x:c>
    </x:row>
    <x:row r="245">
      <x:c r="A245" s="37" t="str">
        <x:v>RC-0244</x:v>
      </x:c>
      <x:c r="B245" s="37" t="str">
        <x:v>explosion_delivery</x:v>
      </x:c>
      <x:c r="C245" s="37" t="str">
        <x:v>observed_pattern</x:v>
      </x:c>
      <x:c r="D245" s="37" t="str">
        <x:v>repeated_implementation_profile</x:v>
      </x:c>
      <x:c r="E245" s="37" t="str">
        <x:v>Mysticism</x:v>
      </x:c>
      <x:c r="F245" s="37" t="str">
        <x:v>MysticismMagic.esp</x:v>
      </x:c>
      <x:c r="G245" s="37" t="str">
        <x:v>main</x:v>
      </x:c>
      <x:c r="H245" s="38" t="str">
        <x:v>Within MysticismMagic.esp, the explosion_delivery implementation repeatedly uses: force=1.0 | damage=0.0 | radius=320.0 | flags_raw=337 | sound_level_raw=0</x:v>
      </x:c>
      <x:c r="I245" s="37" t="str">
        <x:v>7</x:v>
      </x:c>
      <x:c r="J245" s="37" t="str">
        <x:v>observed_patterns:explosion_delivery:force=1.0 | damage=0.0 | radius=320.0 | flags_raw=337 | sound_level_raw=0</x:v>
      </x:c>
      <x:c r="K245" s="37" t="str">
        <x:v>exact_repeated_typed_profile</x:v>
      </x:c>
      <x:c r="L245" s="37" t="str">
        <x:v>mixed_or_external_missing</x:v>
      </x:c>
      <x:c r="M245" s="37" t="str">
        <x:v>alternative_profiles_present</x:v>
      </x:c>
      <x:c r="N245" s="37" t="str">
        <x:v>7</x:v>
      </x:c>
      <x:c r="O245" s="37" t="str"/>
      <x:c r="P245" s="37" t="str">
        <x:v>42</x:v>
      </x:c>
      <x:c r="Q245" s="37" t="str">
        <x:v>low</x:v>
      </x:c>
      <x:c r="R245" s="37" t="str">
        <x:v>review_required</x:v>
      </x:c>
      <x:c r="S245" s="37" t="str">
        <x:v>False</x:v>
      </x:c>
      <x:c r="T245" s="38" t="str">
        <x:v>Do not promote without scope review, exception review, and author-intent/baseline corroboration.</x:v>
      </x:c>
      <x:c r="U245" s="37" t="str">
        <x:v>67</x:v>
      </x:c>
      <x:c r="V245" s="37" t="str">
        <x:v>medium</x:v>
      </x:c>
      <x:c r="W245" s="37" t="str">
        <x:v>40</x:v>
      </x:c>
      <x:c r="X245" s="37" t="str">
        <x:v>low</x:v>
      </x:c>
      <x:c r="Y245" s="37" t="str">
        <x:v>45</x:v>
      </x:c>
      <x:c r="Z245" s="37" t="str">
        <x:v>low</x:v>
      </x:c>
      <x:c r="AA245" s="38" t="str">
        <x:v>alternative_profiles_present;baseline_incomplete</x:v>
      </x:c>
      <x:c r="AB245" s="37" t="str">
        <x:v>review_required</x:v>
      </x:c>
    </x:row>
    <x:row r="246">
      <x:c r="A246" s="37" t="str">
        <x:v>RC-0245</x:v>
      </x:c>
      <x:c r="B246" s="37" t="str">
        <x:v>explosion_delivery</x:v>
      </x:c>
      <x:c r="C246" s="37" t="str">
        <x:v>observed_pattern</x:v>
      </x:c>
      <x:c r="D246" s="37" t="str">
        <x:v>repeated_implementation_profile</x:v>
      </x:c>
      <x:c r="E246" s="37" t="str">
        <x:v>Mysticism</x:v>
      </x:c>
      <x:c r="F246" s="37" t="str">
        <x:v>MysticismMagic.esp</x:v>
      </x:c>
      <x:c r="G246" s="37" t="str">
        <x:v>main</x:v>
      </x:c>
      <x:c r="H246" s="38" t="str">
        <x:v>Within MysticismMagic.esp, the explosion_delivery implementation repeatedly uses: force=0.0 | damage=0.0 | radius=320.0 | flags_raw=65 | sound_level_raw=1</x:v>
      </x:c>
      <x:c r="I246" s="37" t="str">
        <x:v>4</x:v>
      </x:c>
      <x:c r="J246" s="37" t="str">
        <x:v>observed_patterns:explosion_delivery:force=0.0 | damage=0.0 | radius=320.0 | flags_raw=65 | sound_level_raw=1</x:v>
      </x:c>
      <x:c r="K246" s="37" t="str">
        <x:v>exact_repeated_typed_profile</x:v>
      </x:c>
      <x:c r="L246" s="37" t="str">
        <x:v>mixed_or_external_missing</x:v>
      </x:c>
      <x:c r="M246" s="37" t="str">
        <x:v>alternative_profiles_present</x:v>
      </x:c>
      <x:c r="N246" s="37" t="str">
        <x:v>7</x:v>
      </x:c>
      <x:c r="O246" s="37" t="str"/>
      <x:c r="P246" s="37" t="str">
        <x:v>36</x:v>
      </x:c>
      <x:c r="Q246" s="37" t="str">
        <x:v>low</x:v>
      </x:c>
      <x:c r="R246" s="37" t="str">
        <x:v>review_required</x:v>
      </x:c>
      <x:c r="S246" s="37" t="str">
        <x:v>False</x:v>
      </x:c>
      <x:c r="T246" s="38" t="str">
        <x:v>Do not promote without scope review, exception review, and author-intent/baseline corroboration.</x:v>
      </x:c>
      <x:c r="U246" s="37" t="str">
        <x:v>60</x:v>
      </x:c>
      <x:c r="V246" s="37" t="str">
        <x:v>medium</x:v>
      </x:c>
      <x:c r="W246" s="37" t="str">
        <x:v>40</x:v>
      </x:c>
      <x:c r="X246" s="37" t="str">
        <x:v>low</x:v>
      </x:c>
      <x:c r="Y246" s="37" t="str">
        <x:v>41</x:v>
      </x:c>
      <x:c r="Z246" s="37" t="str">
        <x:v>low</x:v>
      </x:c>
      <x:c r="AA246" s="38" t="str">
        <x:v>alternative_profiles_present;baseline_incomplete</x:v>
      </x:c>
      <x:c r="AB246" s="37" t="str">
        <x:v>review_required</x:v>
      </x:c>
    </x:row>
    <x:row r="247">
      <x:c r="A247" s="37" t="str">
        <x:v>RC-0246</x:v>
      </x:c>
      <x:c r="B247" s="37" t="str">
        <x:v>explosion_delivery</x:v>
      </x:c>
      <x:c r="C247" s="37" t="str">
        <x:v>observed_pattern</x:v>
      </x:c>
      <x:c r="D247" s="37" t="str">
        <x:v>repeated_implementation_profile</x:v>
      </x:c>
      <x:c r="E247" s="37" t="str">
        <x:v>Mysticism</x:v>
      </x:c>
      <x:c r="F247" s="37" t="str">
        <x:v>MysticismMagic.esp</x:v>
      </x:c>
      <x:c r="G247" s="37" t="str">
        <x:v>main</x:v>
      </x:c>
      <x:c r="H247" s="38" t="str">
        <x:v>Within MysticismMagic.esp, the explosion_delivery implementation repeatedly uses: force=128.0 | damage=2.0 | radius=320.0 | flags_raw=65 | sound_level_raw=1</x:v>
      </x:c>
      <x:c r="I247" s="37" t="str">
        <x:v>4</x:v>
      </x:c>
      <x:c r="J247" s="37" t="str">
        <x:v>observed_patterns:explosion_delivery:force=128.0 | damage=2.0 | radius=320.0 | flags_raw=65 | sound_level_raw=1</x:v>
      </x:c>
      <x:c r="K247" s="37" t="str">
        <x:v>exact_repeated_typed_profile</x:v>
      </x:c>
      <x:c r="L247" s="37" t="str">
        <x:v>mixed_or_external_missing</x:v>
      </x:c>
      <x:c r="M247" s="37" t="str">
        <x:v>alternative_profiles_present</x:v>
      </x:c>
      <x:c r="N247" s="37" t="str">
        <x:v>7</x:v>
      </x:c>
      <x:c r="O247" s="37" t="str"/>
      <x:c r="P247" s="37" t="str">
        <x:v>36</x:v>
      </x:c>
      <x:c r="Q247" s="37" t="str">
        <x:v>low</x:v>
      </x:c>
      <x:c r="R247" s="37" t="str">
        <x:v>review_required</x:v>
      </x:c>
      <x:c r="S247" s="37" t="str">
        <x:v>False</x:v>
      </x:c>
      <x:c r="T247" s="38" t="str">
        <x:v>Do not promote without scope review, exception review, and author-intent/baseline corroboration.</x:v>
      </x:c>
      <x:c r="U247" s="37" t="str">
        <x:v>60</x:v>
      </x:c>
      <x:c r="V247" s="37" t="str">
        <x:v>medium</x:v>
      </x:c>
      <x:c r="W247" s="37" t="str">
        <x:v>40</x:v>
      </x:c>
      <x:c r="X247" s="37" t="str">
        <x:v>low</x:v>
      </x:c>
      <x:c r="Y247" s="37" t="str">
        <x:v>41</x:v>
      </x:c>
      <x:c r="Z247" s="37" t="str">
        <x:v>low</x:v>
      </x:c>
      <x:c r="AA247" s="38" t="str">
        <x:v>alternative_profiles_present;baseline_incomplete</x:v>
      </x:c>
      <x:c r="AB247" s="37" t="str">
        <x:v>review_required</x:v>
      </x:c>
    </x:row>
    <x:row r="248">
      <x:c r="A248" s="37" t="str">
        <x:v>RC-0247</x:v>
      </x:c>
      <x:c r="B248" s="37" t="str">
        <x:v>explosion_delivery</x:v>
      </x:c>
      <x:c r="C248" s="37" t="str">
        <x:v>observed_pattern</x:v>
      </x:c>
      <x:c r="D248" s="37" t="str">
        <x:v>repeated_implementation_profile</x:v>
      </x:c>
      <x:c r="E248" s="37" t="str">
        <x:v>Mysticism</x:v>
      </x:c>
      <x:c r="F248" s="37" t="str">
        <x:v>MysticismMagic.esp</x:v>
      </x:c>
      <x:c r="G248" s="37" t="str">
        <x:v>main</x:v>
      </x:c>
      <x:c r="H248" s="38" t="str">
        <x:v>Within MysticismMagic.esp, the explosion_delivery implementation repeatedly uses: force=240.0 | damage=2.0 | radius=320.0 | flags_raw=65 | sound_level_raw=1</x:v>
      </x:c>
      <x:c r="I248" s="37" t="str">
        <x:v>3</x:v>
      </x:c>
      <x:c r="J248" s="37" t="str">
        <x:v>observed_patterns:explosion_delivery:force=240.0 | damage=2.0 | radius=320.0 | flags_raw=65 | sound_level_raw=1</x:v>
      </x:c>
      <x:c r="K248" s="37" t="str">
        <x:v>exact_repeated_typed_profile</x:v>
      </x:c>
      <x:c r="L248" s="37" t="str">
        <x:v>mixed_or_external_missing</x:v>
      </x:c>
      <x:c r="M248" s="37" t="str">
        <x:v>alternative_profiles_present</x:v>
      </x:c>
      <x:c r="N248" s="37" t="str">
        <x:v>7</x:v>
      </x:c>
      <x:c r="O248" s="37" t="str"/>
      <x:c r="P248" s="37" t="str">
        <x:v>36</x:v>
      </x:c>
      <x:c r="Q248" s="37" t="str">
        <x:v>low</x:v>
      </x:c>
      <x:c r="R248" s="37" t="str">
        <x:v>review_required</x:v>
      </x:c>
      <x:c r="S248" s="37" t="str">
        <x:v>False</x:v>
      </x:c>
      <x:c r="T248" s="38" t="str">
        <x:v>Do not promote without scope review, exception review, and author-intent/baseline corroboration.</x:v>
      </x:c>
      <x:c r="U248" s="37" t="str">
        <x:v>60</x:v>
      </x:c>
      <x:c r="V248" s="37" t="str">
        <x:v>medium</x:v>
      </x:c>
      <x:c r="W248" s="37" t="str">
        <x:v>40</x:v>
      </x:c>
      <x:c r="X248" s="37" t="str">
        <x:v>low</x:v>
      </x:c>
      <x:c r="Y248" s="37" t="str">
        <x:v>41</x:v>
      </x:c>
      <x:c r="Z248" s="37" t="str">
        <x:v>low</x:v>
      </x:c>
      <x:c r="AA248" s="38" t="str">
        <x:v>alternative_profiles_present;baseline_incomplete</x:v>
      </x:c>
      <x:c r="AB248" s="37" t="str">
        <x:v>review_required</x:v>
      </x:c>
    </x:row>
    <x:row r="249">
      <x:c r="A249" s="37" t="str">
        <x:v>RC-0248</x:v>
      </x:c>
      <x:c r="B249" s="37" t="str">
        <x:v>explosion_delivery</x:v>
      </x:c>
      <x:c r="C249" s="37" t="str">
        <x:v>observed_pattern</x:v>
      </x:c>
      <x:c r="D249" s="37" t="str">
        <x:v>repeated_implementation_profile</x:v>
      </x:c>
      <x:c r="E249" s="37" t="str">
        <x:v>Mysticism</x:v>
      </x:c>
      <x:c r="F249" s="37" t="str">
        <x:v>MysticismMagic.esp</x:v>
      </x:c>
      <x:c r="G249" s="37" t="str">
        <x:v>main</x:v>
      </x:c>
      <x:c r="H249" s="38" t="str">
        <x:v>Within MysticismMagic.esp, the explosion_delivery implementation repeatedly uses: force=1.0 | damage=0.0 | radius=320.0 | flags_raw=81 | sound_level_raw=2</x:v>
      </x:c>
      <x:c r="I249" s="37" t="str">
        <x:v>6</x:v>
      </x:c>
      <x:c r="J249" s="37" t="str">
        <x:v>observed_patterns:explosion_delivery:force=1.0 | damage=0.0 | radius=320.0 | flags_raw=81 | sound_level_raw=2</x:v>
      </x:c>
      <x:c r="K249" s="37" t="str">
        <x:v>exact_repeated_typed_profile</x:v>
      </x:c>
      <x:c r="L249" s="37" t="str">
        <x:v>mixed_or_external_missing</x:v>
      </x:c>
      <x:c r="M249" s="37" t="str">
        <x:v>alternative_profiles_present</x:v>
      </x:c>
      <x:c r="N249" s="37" t="str">
        <x:v>7</x:v>
      </x:c>
      <x:c r="O249" s="37" t="str"/>
      <x:c r="P249" s="37" t="str">
        <x:v>42</x:v>
      </x:c>
      <x:c r="Q249" s="37" t="str">
        <x:v>low</x:v>
      </x:c>
      <x:c r="R249" s="37" t="str">
        <x:v>review_required</x:v>
      </x:c>
      <x:c r="S249" s="37" t="str">
        <x:v>False</x:v>
      </x:c>
      <x:c r="T249" s="38" t="str">
        <x:v>Do not promote without scope review, exception review, and author-intent/baseline corroboration.</x:v>
      </x:c>
      <x:c r="U249" s="37" t="str">
        <x:v>67</x:v>
      </x:c>
      <x:c r="V249" s="37" t="str">
        <x:v>medium</x:v>
      </x:c>
      <x:c r="W249" s="37" t="str">
        <x:v>40</x:v>
      </x:c>
      <x:c r="X249" s="37" t="str">
        <x:v>low</x:v>
      </x:c>
      <x:c r="Y249" s="37" t="str">
        <x:v>45</x:v>
      </x:c>
      <x:c r="Z249" s="37" t="str">
        <x:v>low</x:v>
      </x:c>
      <x:c r="AA249" s="38" t="str">
        <x:v>alternative_profiles_present;baseline_incomplete</x:v>
      </x:c>
      <x:c r="AB249" s="37" t="str">
        <x:v>review_required</x:v>
      </x:c>
    </x:row>
    <x:row r="250">
      <x:c r="A250" s="37" t="str">
        <x:v>RC-0249</x:v>
      </x:c>
      <x:c r="B250" s="37" t="str">
        <x:v>hazard_delivery</x:v>
      </x:c>
      <x:c r="C250" s="37" t="str">
        <x:v>observed_pattern</x:v>
      </x:c>
      <x:c r="D250" s="37" t="str">
        <x:v>repeated_implementation_profile</x:v>
      </x:c>
      <x:c r="E250" s="37" t="str">
        <x:v>Adamant</x:v>
      </x:c>
      <x:c r="F250" s="37" t="str">
        <x:v>Adamant.esp</x:v>
      </x:c>
      <x:c r="G250" s="37" t="str">
        <x:v>main</x:v>
      </x:c>
      <x:c r="H250" s="38" t="str">
        <x:v>Within Adamant.esp, the hazard_delivery implementation repeatedly uses: limit=30 | radius=3.0 | lifetime=10.0 | target_interval=0.30000001192092896 | flags_raw=20</x:v>
      </x:c>
      <x:c r="I250" s="37" t="str">
        <x:v>4</x:v>
      </x:c>
      <x:c r="J250" s="37" t="str">
        <x:v>observed_patterns:hazard_delivery:limit=30 | radius=3.0 | lifetime=10.0 | target_interval=0.30000001192092896 | flags_raw=20</x:v>
      </x:c>
      <x:c r="K250" s="37" t="str">
        <x:v>exact_repeated_typed_profile</x:v>
      </x:c>
      <x:c r="L250" s="37" t="str">
        <x:v>mixed_or_external_missing</x:v>
      </x:c>
      <x:c r="M250" s="37" t="str">
        <x:v>no_alternative_profile_in_current_grouping</x:v>
      </x:c>
      <x:c r="N250" s="37" t="str">
        <x:v>0</x:v>
      </x:c>
      <x:c r="O250" s="37" t="str"/>
      <x:c r="P250" s="37" t="str">
        <x:v>36</x:v>
      </x:c>
      <x:c r="Q250" s="37" t="str">
        <x:v>low</x:v>
      </x:c>
      <x:c r="R250" s="37" t="str">
        <x:v>review_required</x:v>
      </x:c>
      <x:c r="S250" s="37" t="str">
        <x:v>False</x:v>
      </x:c>
      <x:c r="T250" s="38" t="str">
        <x:v>Do not promote without scope review, exception review, and author-intent/baseline corroboration.</x:v>
      </x:c>
      <x:c r="U250" s="37" t="str">
        <x:v>60</x:v>
      </x:c>
      <x:c r="V250" s="37" t="str">
        <x:v>medium</x:v>
      </x:c>
      <x:c r="W250" s="37" t="str">
        <x:v>40</x:v>
      </x:c>
      <x:c r="X250" s="37" t="str">
        <x:v>low</x:v>
      </x:c>
      <x:c r="Y250" s="37" t="str">
        <x:v>46</x:v>
      </x:c>
      <x:c r="Z250" s="37" t="str">
        <x:v>low</x:v>
      </x:c>
      <x:c r="AA250" s="38" t="str">
        <x:v>baseline_incomplete</x:v>
      </x:c>
      <x:c r="AB250" s="37" t="str">
        <x:v>review_required</x:v>
      </x:c>
    </x:row>
    <x:row r="251">
      <x:c r="A251" s="37" t="str">
        <x:v>RC-0250</x:v>
      </x:c>
      <x:c r="B251" s="37" t="str">
        <x:v>hazard_delivery</x:v>
      </x:c>
      <x:c r="C251" s="37" t="str">
        <x:v>observed_pattern</x:v>
      </x:c>
      <x:c r="D251" s="37" t="str">
        <x:v>repeated_implementation_profile</x:v>
      </x:c>
      <x:c r="E251" s="37" t="str">
        <x:v>Mysticism</x:v>
      </x:c>
      <x:c r="F251" s="37" t="str">
        <x:v>MysticismMagic.esp</x:v>
      </x:c>
      <x:c r="G251" s="37" t="str">
        <x:v>main</x:v>
      </x:c>
      <x:c r="H251" s="38" t="str">
        <x:v>Within MysticismMagic.esp, the hazard_delivery implementation repeatedly uses: limit=1 | radius=12.0 | lifetime=240.0 | target_interval=0.20000000298023224 | flags_raw=0</x:v>
      </x:c>
      <x:c r="I251" s="37" t="str">
        <x:v>3</x:v>
      </x:c>
      <x:c r="J251" s="37" t="str">
        <x:v>observed_patterns:hazard_delivery:limit=1 | radius=12.0 | lifetime=240.0 | target_interval=0.20000000298023224 | flags_raw=0</x:v>
      </x:c>
      <x:c r="K251" s="37" t="str">
        <x:v>exact_repeated_typed_profile</x:v>
      </x:c>
      <x:c r="L251" s="37" t="str">
        <x:v>mixed_or_external_missing</x:v>
      </x:c>
      <x:c r="M251" s="37" t="str">
        <x:v>alternative_profiles_present</x:v>
      </x:c>
      <x:c r="N251" s="37" t="str">
        <x:v>6</x:v>
      </x:c>
      <x:c r="O251" s="37" t="str"/>
      <x:c r="P251" s="37" t="str">
        <x:v>36</x:v>
      </x:c>
      <x:c r="Q251" s="37" t="str">
        <x:v>low</x:v>
      </x:c>
      <x:c r="R251" s="37" t="str">
        <x:v>review_required</x:v>
      </x:c>
      <x:c r="S251" s="37" t="str">
        <x:v>False</x:v>
      </x:c>
      <x:c r="T251" s="38" t="str">
        <x:v>Do not promote without scope review, exception review, and author-intent/baseline corroboration.</x:v>
      </x:c>
      <x:c r="U251" s="37" t="str">
        <x:v>60</x:v>
      </x:c>
      <x:c r="V251" s="37" t="str">
        <x:v>medium</x:v>
      </x:c>
      <x:c r="W251" s="37" t="str">
        <x:v>40</x:v>
      </x:c>
      <x:c r="X251" s="37" t="str">
        <x:v>low</x:v>
      </x:c>
      <x:c r="Y251" s="37" t="str">
        <x:v>41</x:v>
      </x:c>
      <x:c r="Z251" s="37" t="str">
        <x:v>low</x:v>
      </x:c>
      <x:c r="AA251" s="38" t="str">
        <x:v>alternative_profiles_present;baseline_incomplete</x:v>
      </x:c>
      <x:c r="AB251" s="37" t="str">
        <x:v>review_required</x:v>
      </x:c>
    </x:row>
    <x:row r="252">
      <x:c r="A252" s="37" t="str">
        <x:v>RC-0251</x:v>
      </x:c>
      <x:c r="B252" s="37" t="str">
        <x:v>hazard_delivery</x:v>
      </x:c>
      <x:c r="C252" s="37" t="str">
        <x:v>observed_pattern</x:v>
      </x:c>
      <x:c r="D252" s="37" t="str">
        <x:v>repeated_implementation_profile</x:v>
      </x:c>
      <x:c r="E252" s="37" t="str">
        <x:v>Mysticism</x:v>
      </x:c>
      <x:c r="F252" s="37" t="str">
        <x:v>MysticismMagic.esp</x:v>
      </x:c>
      <x:c r="G252" s="37" t="str">
        <x:v>main</x:v>
      </x:c>
      <x:c r="H252" s="38" t="str">
        <x:v>Within MysticismMagic.esp, the hazard_delivery implementation repeatedly uses: limit=30 | radius=3.0 | lifetime=60.0 | target_interval=0.30000001192092896 | flags_raw=4</x:v>
      </x:c>
      <x:c r="I252" s="37" t="str">
        <x:v>5</x:v>
      </x:c>
      <x:c r="J252" s="37" t="str">
        <x:v>observed_patterns:hazard_delivery:limit=30 | radius=3.0 | lifetime=60.0 | target_interval=0.30000001192092896 | flags_raw=4</x:v>
      </x:c>
      <x:c r="K252" s="37" t="str">
        <x:v>exact_repeated_typed_profile</x:v>
      </x:c>
      <x:c r="L252" s="37" t="str">
        <x:v>mixed_or_external_missing</x:v>
      </x:c>
      <x:c r="M252" s="37" t="str">
        <x:v>alternative_profiles_present</x:v>
      </x:c>
      <x:c r="N252" s="37" t="str">
        <x:v>6</x:v>
      </x:c>
      <x:c r="O252" s="37" t="str"/>
      <x:c r="P252" s="37" t="str">
        <x:v>42</x:v>
      </x:c>
      <x:c r="Q252" s="37" t="str">
        <x:v>low</x:v>
      </x:c>
      <x:c r="R252" s="37" t="str">
        <x:v>review_required</x:v>
      </x:c>
      <x:c r="S252" s="37" t="str">
        <x:v>False</x:v>
      </x:c>
      <x:c r="T252" s="38" t="str">
        <x:v>Do not promote without scope review, exception review, and author-intent/baseline corroboration.</x:v>
      </x:c>
      <x:c r="U252" s="37" t="str">
        <x:v>67</x:v>
      </x:c>
      <x:c r="V252" s="37" t="str">
        <x:v>medium</x:v>
      </x:c>
      <x:c r="W252" s="37" t="str">
        <x:v>40</x:v>
      </x:c>
      <x:c r="X252" s="37" t="str">
        <x:v>low</x:v>
      </x:c>
      <x:c r="Y252" s="37" t="str">
        <x:v>45</x:v>
      </x:c>
      <x:c r="Z252" s="37" t="str">
        <x:v>low</x:v>
      </x:c>
      <x:c r="AA252" s="38" t="str">
        <x:v>alternative_profiles_present;baseline_incomplete</x:v>
      </x:c>
      <x:c r="AB252" s="37" t="str">
        <x:v>review_required</x:v>
      </x:c>
    </x:row>
    <x:row r="253">
      <x:c r="A253" s="37" t="str">
        <x:v>RC-0252</x:v>
      </x:c>
      <x:c r="B253" s="37" t="str">
        <x:v>hazard_delivery</x:v>
      </x:c>
      <x:c r="C253" s="37" t="str">
        <x:v>observed_pattern</x:v>
      </x:c>
      <x:c r="D253" s="37" t="str">
        <x:v>repeated_implementation_profile</x:v>
      </x:c>
      <x:c r="E253" s="37" t="str">
        <x:v>Mysticism</x:v>
      </x:c>
      <x:c r="F253" s="37" t="str">
        <x:v>MysticismMagic.esp</x:v>
      </x:c>
      <x:c r="G253" s="37" t="str">
        <x:v>main</x:v>
      </x:c>
      <x:c r="H253" s="38" t="str">
        <x:v>Within MysticismMagic.esp, the hazard_delivery implementation repeatedly uses: limit=30 | radius=3.0 | lifetime=60.0 | target_interval=0.30000001192092896 | flags_raw=20</x:v>
      </x:c>
      <x:c r="I253" s="37" t="str">
        <x:v>5</x:v>
      </x:c>
      <x:c r="J253" s="37" t="str">
        <x:v>observed_patterns:hazard_delivery:limit=30 | radius=3.0 | lifetime=60.0 | target_interval=0.30000001192092896 | flags_raw=20</x:v>
      </x:c>
      <x:c r="K253" s="37" t="str">
        <x:v>exact_repeated_typed_profile</x:v>
      </x:c>
      <x:c r="L253" s="37" t="str">
        <x:v>mixed_or_external_missing</x:v>
      </x:c>
      <x:c r="M253" s="37" t="str">
        <x:v>alternative_profiles_present</x:v>
      </x:c>
      <x:c r="N253" s="37" t="str">
        <x:v>6</x:v>
      </x:c>
      <x:c r="O253" s="37" t="str"/>
      <x:c r="P253" s="37" t="str">
        <x:v>42</x:v>
      </x:c>
      <x:c r="Q253" s="37" t="str">
        <x:v>low</x:v>
      </x:c>
      <x:c r="R253" s="37" t="str">
        <x:v>review_required</x:v>
      </x:c>
      <x:c r="S253" s="37" t="str">
        <x:v>False</x:v>
      </x:c>
      <x:c r="T253" s="38" t="str">
        <x:v>Do not promote without scope review, exception review, and author-intent/baseline corroboration.</x:v>
      </x:c>
      <x:c r="U253" s="37" t="str">
        <x:v>67</x:v>
      </x:c>
      <x:c r="V253" s="37" t="str">
        <x:v>medium</x:v>
      </x:c>
      <x:c r="W253" s="37" t="str">
        <x:v>40</x:v>
      </x:c>
      <x:c r="X253" s="37" t="str">
        <x:v>low</x:v>
      </x:c>
      <x:c r="Y253" s="37" t="str">
        <x:v>45</x:v>
      </x:c>
      <x:c r="Z253" s="37" t="str">
        <x:v>low</x:v>
      </x:c>
      <x:c r="AA253" s="38" t="str">
        <x:v>alternative_profiles_present;baseline_incomplete</x:v>
      </x:c>
      <x:c r="AB253" s="37" t="str">
        <x:v>review_required</x:v>
      </x:c>
    </x:row>
    <x:row r="254">
      <x:c r="A254" s="37" t="str">
        <x:v>RC-0253</x:v>
      </x:c>
      <x:c r="B254" s="37" t="str">
        <x:v>hazard_delivery</x:v>
      </x:c>
      <x:c r="C254" s="37" t="str">
        <x:v>observed_pattern</x:v>
      </x:c>
      <x:c r="D254" s="37" t="str">
        <x:v>repeated_implementation_profile</x:v>
      </x:c>
      <x:c r="E254" s="37" t="str">
        <x:v>Mysticism</x:v>
      </x:c>
      <x:c r="F254" s="37" t="str">
        <x:v>MysticismMagic.esp</x:v>
      </x:c>
      <x:c r="G254" s="37" t="str">
        <x:v>main</x:v>
      </x:c>
      <x:c r="H254" s="38" t="str">
        <x:v>Within MysticismMagic.esp, the hazard_delivery implementation repeatedly uses: limit=1 | radius=12.0 | lifetime=300.0 | target_interval=0.20000000298023224 | flags_raw=0</x:v>
      </x:c>
      <x:c r="I254" s="37" t="str">
        <x:v>3</x:v>
      </x:c>
      <x:c r="J254" s="37" t="str">
        <x:v>observed_patterns:hazard_delivery:limit=1 | radius=12.0 | lifetime=300.0 | target_interval=0.20000000298023224 | flags_raw=0</x:v>
      </x:c>
      <x:c r="K254" s="37" t="str">
        <x:v>exact_repeated_typed_profile</x:v>
      </x:c>
      <x:c r="L254" s="37" t="str">
        <x:v>mixed_or_external_missing</x:v>
      </x:c>
      <x:c r="M254" s="37" t="str">
        <x:v>alternative_profiles_present</x:v>
      </x:c>
      <x:c r="N254" s="37" t="str">
        <x:v>6</x:v>
      </x:c>
      <x:c r="O254" s="37" t="str"/>
      <x:c r="P254" s="37" t="str">
        <x:v>36</x:v>
      </x:c>
      <x:c r="Q254" s="37" t="str">
        <x:v>low</x:v>
      </x:c>
      <x:c r="R254" s="37" t="str">
        <x:v>review_required</x:v>
      </x:c>
      <x:c r="S254" s="37" t="str">
        <x:v>False</x:v>
      </x:c>
      <x:c r="T254" s="38" t="str">
        <x:v>Do not promote without scope review, exception review, and author-intent/baseline corroboration.</x:v>
      </x:c>
      <x:c r="U254" s="37" t="str">
        <x:v>60</x:v>
      </x:c>
      <x:c r="V254" s="37" t="str">
        <x:v>medium</x:v>
      </x:c>
      <x:c r="W254" s="37" t="str">
        <x:v>40</x:v>
      </x:c>
      <x:c r="X254" s="37" t="str">
        <x:v>low</x:v>
      </x:c>
      <x:c r="Y254" s="37" t="str">
        <x:v>41</x:v>
      </x:c>
      <x:c r="Z254" s="37" t="str">
        <x:v>low</x:v>
      </x:c>
      <x:c r="AA254" s="38" t="str">
        <x:v>alternative_profiles_present;baseline_incomplete</x:v>
      </x:c>
      <x:c r="AB254" s="37" t="str">
        <x:v>review_required</x:v>
      </x:c>
    </x:row>
    <x:row r="255">
      <x:c r="A255" s="37" t="str">
        <x:v>RC-0254</x:v>
      </x:c>
      <x:c r="B255" s="37" t="str">
        <x:v>hazard_delivery</x:v>
      </x:c>
      <x:c r="C255" s="37" t="str">
        <x:v>observed_pattern</x:v>
      </x:c>
      <x:c r="D255" s="37" t="str">
        <x:v>repeated_implementation_profile</x:v>
      </x:c>
      <x:c r="E255" s="37" t="str">
        <x:v>Mysticism</x:v>
      </x:c>
      <x:c r="F255" s="37" t="str">
        <x:v>MysticismMagic.esp</x:v>
      </x:c>
      <x:c r="G255" s="37" t="str">
        <x:v>main</x:v>
      </x:c>
      <x:c r="H255" s="38" t="str">
        <x:v>Within MysticismMagic.esp, the hazard_delivery implementation repeatedly uses: limit=1 | radius=12.0 | lifetime=600.0 | target_interval=1.0 | flags_raw=0</x:v>
      </x:c>
      <x:c r="I255" s="37" t="str">
        <x:v>6</x:v>
      </x:c>
      <x:c r="J255" s="37" t="str">
        <x:v>observed_patterns:hazard_delivery:limit=1 | radius=12.0 | lifetime=600.0 | target_interval=1.0 | flags_raw=0</x:v>
      </x:c>
      <x:c r="K255" s="37" t="str">
        <x:v>exact_repeated_typed_profile</x:v>
      </x:c>
      <x:c r="L255" s="37" t="str">
        <x:v>mixed_or_external_missing</x:v>
      </x:c>
      <x:c r="M255" s="37" t="str">
        <x:v>alternative_profiles_present</x:v>
      </x:c>
      <x:c r="N255" s="37" t="str">
        <x:v>6</x:v>
      </x:c>
      <x:c r="O255" s="37" t="str"/>
      <x:c r="P255" s="37" t="str">
        <x:v>42</x:v>
      </x:c>
      <x:c r="Q255" s="37" t="str">
        <x:v>low</x:v>
      </x:c>
      <x:c r="R255" s="37" t="str">
        <x:v>review_required</x:v>
      </x:c>
      <x:c r="S255" s="37" t="str">
        <x:v>False</x:v>
      </x:c>
      <x:c r="T255" s="38" t="str">
        <x:v>Do not promote without scope review, exception review, and author-intent/baseline corroboration.</x:v>
      </x:c>
      <x:c r="U255" s="37" t="str">
        <x:v>67</x:v>
      </x:c>
      <x:c r="V255" s="37" t="str">
        <x:v>medium</x:v>
      </x:c>
      <x:c r="W255" s="37" t="str">
        <x:v>40</x:v>
      </x:c>
      <x:c r="X255" s="37" t="str">
        <x:v>low</x:v>
      </x:c>
      <x:c r="Y255" s="37" t="str">
        <x:v>45</x:v>
      </x:c>
      <x:c r="Z255" s="37" t="str">
        <x:v>low</x:v>
      </x:c>
      <x:c r="AA255" s="38" t="str">
        <x:v>alternative_profiles_present;baseline_incomplete</x:v>
      </x:c>
      <x:c r="AB255" s="37" t="str">
        <x:v>review_required</x:v>
      </x:c>
    </x:row>
    <x:row r="256">
      <x:c r="A256" s="37" t="str">
        <x:v>RC-0255</x:v>
      </x:c>
      <x:c r="B256" s="37" t="str">
        <x:v>hazard_delivery</x:v>
      </x:c>
      <x:c r="C256" s="37" t="str">
        <x:v>observed_pattern</x:v>
      </x:c>
      <x:c r="D256" s="37" t="str">
        <x:v>repeated_implementation_profile</x:v>
      </x:c>
      <x:c r="E256" s="37" t="str">
        <x:v>Mysticism</x:v>
      </x:c>
      <x:c r="F256" s="37" t="str">
        <x:v>MysticismMagic.esp</x:v>
      </x:c>
      <x:c r="G256" s="37" t="str">
        <x:v>main</x:v>
      </x:c>
      <x:c r="H256" s="38" t="str">
        <x:v>Within MysticismMagic.esp, the hazard_delivery implementation repeatedly uses: limit=1 | radius=12.0 | lifetime=600.0 | target_interval=0.20000000298023224 | flags_raw=0</x:v>
      </x:c>
      <x:c r="I256" s="37" t="str">
        <x:v>3</x:v>
      </x:c>
      <x:c r="J256" s="37" t="str">
        <x:v>observed_patterns:hazard_delivery:limit=1 | radius=12.0 | lifetime=600.0 | target_interval=0.20000000298023224 | flags_raw=0</x:v>
      </x:c>
      <x:c r="K256" s="37" t="str">
        <x:v>exact_repeated_typed_profile</x:v>
      </x:c>
      <x:c r="L256" s="37" t="str">
        <x:v>mixed_or_external_missing</x:v>
      </x:c>
      <x:c r="M256" s="37" t="str">
        <x:v>alternative_profiles_present</x:v>
      </x:c>
      <x:c r="N256" s="37" t="str">
        <x:v>6</x:v>
      </x:c>
      <x:c r="O256" s="37" t="str"/>
      <x:c r="P256" s="37" t="str">
        <x:v>36</x:v>
      </x:c>
      <x:c r="Q256" s="37" t="str">
        <x:v>low</x:v>
      </x:c>
      <x:c r="R256" s="37" t="str">
        <x:v>review_required</x:v>
      </x:c>
      <x:c r="S256" s="37" t="str">
        <x:v>False</x:v>
      </x:c>
      <x:c r="T256" s="38" t="str">
        <x:v>Do not promote without scope review, exception review, and author-intent/baseline corroboration.</x:v>
      </x:c>
      <x:c r="U256" s="37" t="str">
        <x:v>60</x:v>
      </x:c>
      <x:c r="V256" s="37" t="str">
        <x:v>medium</x:v>
      </x:c>
      <x:c r="W256" s="37" t="str">
        <x:v>40</x:v>
      </x:c>
      <x:c r="X256" s="37" t="str">
        <x:v>low</x:v>
      </x:c>
      <x:c r="Y256" s="37" t="str">
        <x:v>41</x:v>
      </x:c>
      <x:c r="Z256" s="37" t="str">
        <x:v>low</x:v>
      </x:c>
      <x:c r="AA256" s="38" t="str">
        <x:v>alternative_profiles_present;baseline_incomplete</x:v>
      </x:c>
      <x:c r="AB256" s="37" t="str">
        <x:v>review_required</x:v>
      </x:c>
    </x:row>
    <x:row r="257">
      <x:c r="A257" s="37" t="str">
        <x:v>RC-0256</x:v>
      </x:c>
      <x:c r="B257" s="37" t="str">
        <x:v>hazard_delivery</x:v>
      </x:c>
      <x:c r="C257" s="37" t="str">
        <x:v>observed_pattern</x:v>
      </x:c>
      <x:c r="D257" s="37" t="str">
        <x:v>repeated_implementation_profile</x:v>
      </x:c>
      <x:c r="E257" s="37" t="str">
        <x:v>Mysticism</x:v>
      </x:c>
      <x:c r="F257" s="37" t="str">
        <x:v>MysticismMagic.esp</x:v>
      </x:c>
      <x:c r="G257" s="37" t="str">
        <x:v>main</x:v>
      </x:c>
      <x:c r="H257" s="38" t="str">
        <x:v>Within MysticismMagic.esp, the hazard_delivery implementation repeatedly uses: limit=1 | radius=12.0 | lifetime=120.0 | target_interval=0.20000000298023224 | flags_raw=0</x:v>
      </x:c>
      <x:c r="I257" s="37" t="str">
        <x:v>3</x:v>
      </x:c>
      <x:c r="J257" s="37" t="str">
        <x:v>observed_patterns:hazard_delivery:limit=1 | radius=12.0 | lifetime=120.0 | target_interval=0.20000000298023224 | flags_raw=0</x:v>
      </x:c>
      <x:c r="K257" s="37" t="str">
        <x:v>exact_repeated_typed_profile</x:v>
      </x:c>
      <x:c r="L257" s="37" t="str">
        <x:v>mixed_or_external_missing</x:v>
      </x:c>
      <x:c r="M257" s="37" t="str">
        <x:v>alternative_profiles_present</x:v>
      </x:c>
      <x:c r="N257" s="37" t="str">
        <x:v>6</x:v>
      </x:c>
      <x:c r="O257" s="37" t="str"/>
      <x:c r="P257" s="37" t="str">
        <x:v>36</x:v>
      </x:c>
      <x:c r="Q257" s="37" t="str">
        <x:v>low</x:v>
      </x:c>
      <x:c r="R257" s="37" t="str">
        <x:v>review_required</x:v>
      </x:c>
      <x:c r="S257" s="37" t="str">
        <x:v>False</x:v>
      </x:c>
      <x:c r="T257" s="38" t="str">
        <x:v>Do not promote without scope review, exception review, and author-intent/baseline corroboration.</x:v>
      </x:c>
      <x:c r="U257" s="37" t="str">
        <x:v>60</x:v>
      </x:c>
      <x:c r="V257" s="37" t="str">
        <x:v>medium</x:v>
      </x:c>
      <x:c r="W257" s="37" t="str">
        <x:v>40</x:v>
      </x:c>
      <x:c r="X257" s="37" t="str">
        <x:v>low</x:v>
      </x:c>
      <x:c r="Y257" s="37" t="str">
        <x:v>41</x:v>
      </x:c>
      <x:c r="Z257" s="37" t="str">
        <x:v>low</x:v>
      </x:c>
      <x:c r="AA257" s="38" t="str">
        <x:v>alternative_profiles_present;baseline_incomplete</x:v>
      </x:c>
      <x:c r="AB257" s="37" t="str">
        <x:v>review_required</x:v>
      </x:c>
    </x:row>
    <x:row r="258">
      <x:c r="A258" s="37" t="str">
        <x:v>RC-0257</x:v>
      </x:c>
      <x:c r="B258" s="37" t="str">
        <x:v>author_explicit_design</x:v>
      </x:c>
      <x:c r="C258" s="37" t="str">
        <x:v>fomod_description</x:v>
      </x:c>
      <x:c r="D258" s="37" t="str">
        <x:v>explicit_author_claim</x:v>
      </x:c>
      <x:c r="E258" s="37" t="str">
        <x:v>Blade and Blunt</x:v>
      </x:c>
      <x:c r="F258" s="37" t="str"/>
      <x:c r="G258" s="37" t="str">
        <x:v>reversion</x:v>
      </x:c>
      <x:c r="H258" s="38" t="str">
        <x:v>This optional file disables all kill moves, including ranged kill moves, without breaking the main quest.</x:v>
      </x:c>
      <x:c r="I258" s="37" t="str">
        <x:v>1</x:v>
      </x:c>
      <x:c r="J258" s="37" t="str">
        <x:v>FOMOD-002</x:v>
      </x:c>
      <x:c r="K258" s="37" t="str">
        <x:v>author_supplied_installer_description</x:v>
      </x:c>
      <x:c r="L258" s="37" t="str">
        <x:v>not_required_for_claim_text</x:v>
      </x:c>
      <x:c r="M258" s="37" t="str">
        <x:v>not_yet_checked</x:v>
      </x:c>
      <x:c r="N258" s="37" t="str"/>
      <x:c r="O258" s="37" t="str">
        <x:v>reversion_or_compatibility_module</x:v>
      </x:c>
      <x:c r="P258" s="37" t="str">
        <x:v>15</x:v>
      </x:c>
      <x:c r="Q258" s="37" t="str">
        <x:v>low</x:v>
      </x:c>
      <x:c r="R258" s="37" t="str">
        <x:v>review_required</x:v>
      </x:c>
      <x:c r="S258" s="37" t="str">
        <x:v>False</x:v>
      </x:c>
      <x:c r="T258" s="38" t="str">
        <x:v>Author statement is strong intent evidence, but implementation corroboration and scope interpretation are still required.</x:v>
      </x:c>
      <x:c r="U258" s="37" t="str">
        <x:v>88</x:v>
      </x:c>
      <x:c r="V258" s="37" t="str">
        <x:v>high</x:v>
      </x:c>
      <x:c r="W258" s="37" t="str">
        <x:v>13</x:v>
      </x:c>
      <x:c r="X258" s="37" t="str">
        <x:v>low</x:v>
      </x:c>
      <x:c r="Y258" s="37" t="str">
        <x:v>49</x:v>
      </x:c>
      <x:c r="Z258" s="37" t="str">
        <x:v>low</x:v>
      </x:c>
      <x:c r="AA258" s="38" t="str">
        <x:v>reversion_or_compatibility_module</x:v>
      </x:c>
      <x:c r="AB258" s="37" t="str">
        <x:v>review_required</x:v>
      </x:c>
    </x:row>
    <x:row r="259">
      <x:c r="A259" s="37" t="str">
        <x:v>RC-0258</x:v>
      </x:c>
      <x:c r="B259" s="37" t="str">
        <x:v>author_explicit_design</x:v>
      </x:c>
      <x:c r="C259" s="37" t="str">
        <x:v>fomod_description</x:v>
      </x:c>
      <x:c r="D259" s="37" t="str">
        <x:v>explicit_author_claim</x:v>
      </x:c>
      <x:c r="E259" s="37" t="str">
        <x:v>Blade and Blunt</x:v>
      </x:c>
      <x:c r="F259" s="37" t="str"/>
      <x:c r="G259" s="37" t="str">
        <x:v>reversion</x:v>
      </x:c>
      <x:c r="H259" s="38" t="str">
        <x:v>Blade and Blunt changes the cost of power attacks. However, this change is not compatible with Ordinator's perks that reduce the cost of power attacking by a flat value. This addon reverts Blade and Blunt's changes to power attack cost back to Vanilla. Not recommended unless you are using Ordinator.</x:v>
      </x:c>
      <x:c r="I259" s="37" t="str">
        <x:v>1</x:v>
      </x:c>
      <x:c r="J259" s="37" t="str">
        <x:v>FOMOD-003</x:v>
      </x:c>
      <x:c r="K259" s="37" t="str">
        <x:v>author_supplied_installer_description</x:v>
      </x:c>
      <x:c r="L259" s="37" t="str">
        <x:v>not_required_for_claim_text</x:v>
      </x:c>
      <x:c r="M259" s="37" t="str">
        <x:v>not_yet_checked</x:v>
      </x:c>
      <x:c r="N259" s="37" t="str"/>
      <x:c r="O259" s="37" t="str">
        <x:v>reversion_or_compatibility_module</x:v>
      </x:c>
      <x:c r="P259" s="37" t="str">
        <x:v>15</x:v>
      </x:c>
      <x:c r="Q259" s="37" t="str">
        <x:v>low</x:v>
      </x:c>
      <x:c r="R259" s="37" t="str">
        <x:v>review_required</x:v>
      </x:c>
      <x:c r="S259" s="37" t="str">
        <x:v>False</x:v>
      </x:c>
      <x:c r="T259" s="38" t="str">
        <x:v>Author statement is strong intent evidence, but implementation corroboration and scope interpretation are still required.</x:v>
      </x:c>
      <x:c r="U259" s="37" t="str">
        <x:v>94</x:v>
      </x:c>
      <x:c r="V259" s="37" t="str">
        <x:v>high</x:v>
      </x:c>
      <x:c r="W259" s="37" t="str">
        <x:v>13</x:v>
      </x:c>
      <x:c r="X259" s="37" t="str">
        <x:v>low</x:v>
      </x:c>
      <x:c r="Y259" s="37" t="str">
        <x:v>53</x:v>
      </x:c>
      <x:c r="Z259" s="37" t="str">
        <x:v>medium</x:v>
      </x:c>
      <x:c r="AA259" s="38" t="str">
        <x:v>reversion_or_compatibility_module</x:v>
      </x:c>
      <x:c r="AB259" s="37" t="str">
        <x:v>review_required</x:v>
      </x:c>
    </x:row>
    <x:row r="260">
      <x:c r="A260" s="37" t="str">
        <x:v>RC-0259</x:v>
      </x:c>
      <x:c r="B260" s="37" t="str">
        <x:v>author_explicit_design</x:v>
      </x:c>
      <x:c r="C260" s="37" t="str">
        <x:v>fomod_description</x:v>
      </x:c>
      <x:c r="D260" s="37" t="str">
        <x:v>explicit_author_claim</x:v>
      </x:c>
      <x:c r="E260" s="37" t="str">
        <x:v>Blade and Blunt</x:v>
      </x:c>
      <x:c r="F260" s="37" t="str"/>
      <x:c r="G260" s="37" t="str">
        <x:v>reversion</x:v>
      </x:c>
      <x:c r="H260" s="38" t="str">
        <x:v>Blade and Blunt makes several changes to the Stamina cost of sprinting. This addon reverts those changes, for compatibility with mods such as Horseback or Unlimited sprinting.</x:v>
      </x:c>
      <x:c r="I260" s="37" t="str">
        <x:v>1</x:v>
      </x:c>
      <x:c r="J260" s="37" t="str">
        <x:v>FOMOD-004</x:v>
      </x:c>
      <x:c r="K260" s="37" t="str">
        <x:v>author_supplied_installer_description</x:v>
      </x:c>
      <x:c r="L260" s="37" t="str">
        <x:v>not_required_for_claim_text</x:v>
      </x:c>
      <x:c r="M260" s="37" t="str">
        <x:v>not_yet_checked</x:v>
      </x:c>
      <x:c r="N260" s="37" t="str"/>
      <x:c r="O260" s="37" t="str">
        <x:v>reversion_or_compatibility_module</x:v>
      </x:c>
      <x:c r="P260" s="37" t="str">
        <x:v>15</x:v>
      </x:c>
      <x:c r="Q260" s="37" t="str">
        <x:v>low</x:v>
      </x:c>
      <x:c r="R260" s="37" t="str">
        <x:v>review_required</x:v>
      </x:c>
      <x:c r="S260" s="37" t="str">
        <x:v>False</x:v>
      </x:c>
      <x:c r="T260" s="38" t="str">
        <x:v>Author statement is strong intent evidence, but implementation corroboration and scope interpretation are still required.</x:v>
      </x:c>
      <x:c r="U260" s="37" t="str">
        <x:v>94</x:v>
      </x:c>
      <x:c r="V260" s="37" t="str">
        <x:v>high</x:v>
      </x:c>
      <x:c r="W260" s="37" t="str">
        <x:v>13</x:v>
      </x:c>
      <x:c r="X260" s="37" t="str">
        <x:v>low</x:v>
      </x:c>
      <x:c r="Y260" s="37" t="str">
        <x:v>53</x:v>
      </x:c>
      <x:c r="Z260" s="37" t="str">
        <x:v>medium</x:v>
      </x:c>
      <x:c r="AA260" s="38" t="str">
        <x:v>reversion_or_compatibility_module</x:v>
      </x:c>
      <x:c r="AB260" s="37" t="str">
        <x:v>review_required</x:v>
      </x:c>
    </x:row>
    <x:row r="261">
      <x:c r="A261" s="37" t="str">
        <x:v>RC-0260</x:v>
      </x:c>
      <x:c r="B261" s="37" t="str">
        <x:v>author_explicit_design</x:v>
      </x:c>
      <x:c r="C261" s="37" t="str">
        <x:v>fomod_description</x:v>
      </x:c>
      <x:c r="D261" s="37" t="str">
        <x:v>explicit_author_claim</x:v>
      </x:c>
      <x:c r="E261" s="37" t="str">
        <x:v>Blade and Blunt</x:v>
      </x:c>
      <x:c r="F261" s="37" t="str"/>
      <x:c r="G261" s="37" t="str">
        <x:v>reversion</x:v>
      </x:c>
      <x:c r="H261" s="38" t="str">
        <x:v>Blade and Blunt disables Stamina regeneration while casting. This addon reverts that change.</x:v>
      </x:c>
      <x:c r="I261" s="37" t="str">
        <x:v>1</x:v>
      </x:c>
      <x:c r="J261" s="37" t="str">
        <x:v>FOMOD-005</x:v>
      </x:c>
      <x:c r="K261" s="37" t="str">
        <x:v>author_supplied_installer_description</x:v>
      </x:c>
      <x:c r="L261" s="37" t="str">
        <x:v>not_required_for_claim_text</x:v>
      </x:c>
      <x:c r="M261" s="37" t="str">
        <x:v>not_yet_checked</x:v>
      </x:c>
      <x:c r="N261" s="37" t="str"/>
      <x:c r="O261" s="37" t="str">
        <x:v>reversion_or_compatibility_module</x:v>
      </x:c>
      <x:c r="P261" s="37" t="str">
        <x:v>15</x:v>
      </x:c>
      <x:c r="Q261" s="37" t="str">
        <x:v>low</x:v>
      </x:c>
      <x:c r="R261" s="37" t="str">
        <x:v>review_required</x:v>
      </x:c>
      <x:c r="S261" s="37" t="str">
        <x:v>False</x:v>
      </x:c>
      <x:c r="T261" s="38" t="str">
        <x:v>Author statement is strong intent evidence, but implementation corroboration and scope interpretation are still required.</x:v>
      </x:c>
      <x:c r="U261" s="37" t="str">
        <x:v>94</x:v>
      </x:c>
      <x:c r="V261" s="37" t="str">
        <x:v>high</x:v>
      </x:c>
      <x:c r="W261" s="37" t="str">
        <x:v>13</x:v>
      </x:c>
      <x:c r="X261" s="37" t="str">
        <x:v>low</x:v>
      </x:c>
      <x:c r="Y261" s="37" t="str">
        <x:v>53</x:v>
      </x:c>
      <x:c r="Z261" s="37" t="str">
        <x:v>medium</x:v>
      </x:c>
      <x:c r="AA261" s="38" t="str">
        <x:v>reversion_or_compatibility_module</x:v>
      </x:c>
      <x:c r="AB261" s="37" t="str">
        <x:v>review_required</x:v>
      </x:c>
    </x:row>
    <x:row r="262">
      <x:c r="A262" s="37" t="str">
        <x:v>RC-0261</x:v>
      </x:c>
      <x:c r="B262" s="37" t="str">
        <x:v>author_explicit_design</x:v>
      </x:c>
      <x:c r="C262" s="37" t="str">
        <x:v>fomod_description</x:v>
      </x:c>
      <x:c r="D262" s="37" t="str">
        <x:v>explicit_author_claim</x:v>
      </x:c>
      <x:c r="E262" s="37" t="str">
        <x:v>Blade and Blunt</x:v>
      </x:c>
      <x:c r="F262" s="37" t="str"/>
      <x:c r="G262" s="37" t="str">
        <x:v>reversion</x:v>
      </x:c>
      <x:c r="H262" s="38" t="str">
        <x:v>Blade and Blunt adds a Stamina cost to sneaking. This addon reverts that change.</x:v>
      </x:c>
      <x:c r="I262" s="37" t="str">
        <x:v>1</x:v>
      </x:c>
      <x:c r="J262" s="37" t="str">
        <x:v>FOMOD-006</x:v>
      </x:c>
      <x:c r="K262" s="37" t="str">
        <x:v>author_supplied_installer_description</x:v>
      </x:c>
      <x:c r="L262" s="37" t="str">
        <x:v>not_required_for_claim_text</x:v>
      </x:c>
      <x:c r="M262" s="37" t="str">
        <x:v>not_yet_checked</x:v>
      </x:c>
      <x:c r="N262" s="37" t="str"/>
      <x:c r="O262" s="37" t="str">
        <x:v>reversion_or_compatibility_module</x:v>
      </x:c>
      <x:c r="P262" s="37" t="str">
        <x:v>15</x:v>
      </x:c>
      <x:c r="Q262" s="37" t="str">
        <x:v>low</x:v>
      </x:c>
      <x:c r="R262" s="37" t="str">
        <x:v>review_required</x:v>
      </x:c>
      <x:c r="S262" s="37" t="str">
        <x:v>False</x:v>
      </x:c>
      <x:c r="T262" s="38" t="str">
        <x:v>Author statement is strong intent evidence, but implementation corroboration and scope interpretation are still required.</x:v>
      </x:c>
      <x:c r="U262" s="37" t="str">
        <x:v>94</x:v>
      </x:c>
      <x:c r="V262" s="37" t="str">
        <x:v>high</x:v>
      </x:c>
      <x:c r="W262" s="37" t="str">
        <x:v>13</x:v>
      </x:c>
      <x:c r="X262" s="37" t="str">
        <x:v>low</x:v>
      </x:c>
      <x:c r="Y262" s="37" t="str">
        <x:v>53</x:v>
      </x:c>
      <x:c r="Z262" s="37" t="str">
        <x:v>medium</x:v>
      </x:c>
      <x:c r="AA262" s="38" t="str">
        <x:v>reversion_or_compatibility_module</x:v>
      </x:c>
      <x:c r="AB262" s="37" t="str">
        <x:v>review_required</x:v>
      </x:c>
    </x:row>
    <x:row r="263">
      <x:c r="A263" s="37" t="str">
        <x:v>RC-0262</x:v>
      </x:c>
      <x:c r="B263" s="37" t="str">
        <x:v>author_explicit_design</x:v>
      </x:c>
      <x:c r="C263" s="37" t="str">
        <x:v>fomod_description</x:v>
      </x:c>
      <x:c r="D263" s="37" t="str">
        <x:v>explicit_author_claim</x:v>
      </x:c>
      <x:c r="E263" s="37" t="str">
        <x:v>Blade and Blunt</x:v>
      </x:c>
      <x:c r="F263" s="37" t="str"/>
      <x:c r="G263" s="37" t="str">
        <x:v>reversion</x:v>
      </x:c>
      <x:c r="H263" s="38" t="str">
        <x:v>Blade and Blunt adds a Stamina cost to jumping. This addon reverts that change.</x:v>
      </x:c>
      <x:c r="I263" s="37" t="str">
        <x:v>1</x:v>
      </x:c>
      <x:c r="J263" s="37" t="str">
        <x:v>FOMOD-007</x:v>
      </x:c>
      <x:c r="K263" s="37" t="str">
        <x:v>author_supplied_installer_description</x:v>
      </x:c>
      <x:c r="L263" s="37" t="str">
        <x:v>not_required_for_claim_text</x:v>
      </x:c>
      <x:c r="M263" s="37" t="str">
        <x:v>not_yet_checked</x:v>
      </x:c>
      <x:c r="N263" s="37" t="str"/>
      <x:c r="O263" s="37" t="str">
        <x:v>reversion_or_compatibility_module</x:v>
      </x:c>
      <x:c r="P263" s="37" t="str">
        <x:v>15</x:v>
      </x:c>
      <x:c r="Q263" s="37" t="str">
        <x:v>low</x:v>
      </x:c>
      <x:c r="R263" s="37" t="str">
        <x:v>review_required</x:v>
      </x:c>
      <x:c r="S263" s="37" t="str">
        <x:v>False</x:v>
      </x:c>
      <x:c r="T263" s="38" t="str">
        <x:v>Author statement is strong intent evidence, but implementation corroboration and scope interpretation are still required.</x:v>
      </x:c>
      <x:c r="U263" s="37" t="str">
        <x:v>94</x:v>
      </x:c>
      <x:c r="V263" s="37" t="str">
        <x:v>high</x:v>
      </x:c>
      <x:c r="W263" s="37" t="str">
        <x:v>13</x:v>
      </x:c>
      <x:c r="X263" s="37" t="str">
        <x:v>low</x:v>
      </x:c>
      <x:c r="Y263" s="37" t="str">
        <x:v>53</x:v>
      </x:c>
      <x:c r="Z263" s="37" t="str">
        <x:v>medium</x:v>
      </x:c>
      <x:c r="AA263" s="38" t="str">
        <x:v>reversion_or_compatibility_module</x:v>
      </x:c>
      <x:c r="AB263" s="37" t="str">
        <x:v>review_required</x:v>
      </x:c>
    </x:row>
    <x:row r="264">
      <x:c r="A264" s="37" t="str">
        <x:v>RC-0263</x:v>
      </x:c>
      <x:c r="B264" s="37" t="str">
        <x:v>author_explicit_design</x:v>
      </x:c>
      <x:c r="C264" s="37" t="str">
        <x:v>fomod_description</x:v>
      </x:c>
      <x:c r="D264" s="37" t="str">
        <x:v>explicit_author_claim</x:v>
      </x:c>
      <x:c r="E264" s="37" t="str">
        <x:v>Blade and Blunt</x:v>
      </x:c>
      <x:c r="F264" s="37" t="str"/>
      <x:c r="G264" s="37" t="str">
        <x:v>reversion</x:v>
      </x:c>
      <x:c r="H264" s="38" t="str">
        <x:v>Blade and Blunt adds a Stamina cost to swimming. This addon reverts that change.</x:v>
      </x:c>
      <x:c r="I264" s="37" t="str">
        <x:v>1</x:v>
      </x:c>
      <x:c r="J264" s="37" t="str">
        <x:v>FOMOD-008</x:v>
      </x:c>
      <x:c r="K264" s="37" t="str">
        <x:v>author_supplied_installer_description</x:v>
      </x:c>
      <x:c r="L264" s="37" t="str">
        <x:v>not_required_for_claim_text</x:v>
      </x:c>
      <x:c r="M264" s="37" t="str">
        <x:v>not_yet_checked</x:v>
      </x:c>
      <x:c r="N264" s="37" t="str"/>
      <x:c r="O264" s="37" t="str">
        <x:v>reversion_or_compatibility_module</x:v>
      </x:c>
      <x:c r="P264" s="37" t="str">
        <x:v>15</x:v>
      </x:c>
      <x:c r="Q264" s="37" t="str">
        <x:v>low</x:v>
      </x:c>
      <x:c r="R264" s="37" t="str">
        <x:v>review_required</x:v>
      </x:c>
      <x:c r="S264" s="37" t="str">
        <x:v>False</x:v>
      </x:c>
      <x:c r="T264" s="38" t="str">
        <x:v>Author statement is strong intent evidence, but implementation corroboration and scope interpretation are still required.</x:v>
      </x:c>
      <x:c r="U264" s="37" t="str">
        <x:v>94</x:v>
      </x:c>
      <x:c r="V264" s="37" t="str">
        <x:v>high</x:v>
      </x:c>
      <x:c r="W264" s="37" t="str">
        <x:v>13</x:v>
      </x:c>
      <x:c r="X264" s="37" t="str">
        <x:v>low</x:v>
      </x:c>
      <x:c r="Y264" s="37" t="str">
        <x:v>53</x:v>
      </x:c>
      <x:c r="Z264" s="37" t="str">
        <x:v>medium</x:v>
      </x:c>
      <x:c r="AA264" s="38" t="str">
        <x:v>reversion_or_compatibility_module</x:v>
      </x:c>
      <x:c r="AB264" s="37" t="str">
        <x:v>review_required</x:v>
      </x:c>
    </x:row>
    <x:row r="265">
      <x:c r="A265" s="37" t="str">
        <x:v>RC-0264</x:v>
      </x:c>
      <x:c r="B265" s="37" t="str">
        <x:v>author_explicit_design</x:v>
      </x:c>
      <x:c r="C265" s="37" t="str">
        <x:v>fomod_description</x:v>
      </x:c>
      <x:c r="D265" s="37" t="str">
        <x:v>explicit_author_claim</x:v>
      </x:c>
      <x:c r="E265" s="37" t="str">
        <x:v>Mysticism</x:v>
      </x:c>
      <x:c r="F265" s="37" t="str"/>
      <x:c r="G265" s="37" t="str">
        <x:v>optional_module</x:v>
      </x:c>
      <x:c r="H265" s="38" t="str">
        <x:v>With this plugin installed, Apprentice spells will be available at 25 skill, Adept spells will be available at 50 skill, and Expert spells will be available at 75 skill. Master spells will continue to be available after completing the quest, which unlocks at 90 skill.</x:v>
      </x:c>
      <x:c r="I265" s="37" t="str">
        <x:v>1</x:v>
      </x:c>
      <x:c r="J265" s="37" t="str">
        <x:v>FOMOD-010</x:v>
      </x:c>
      <x:c r="K265" s="37" t="str">
        <x:v>author_supplied_installer_description</x:v>
      </x:c>
      <x:c r="L265" s="37" t="str">
        <x:v>not_required_for_claim_text</x:v>
      </x:c>
      <x:c r="M265" s="37" t="str">
        <x:v>not_yet_checked</x:v>
      </x:c>
      <x:c r="N265" s="37" t="str"/>
      <x:c r="O265" s="37" t="str"/>
      <x:c r="P265" s="37" t="str">
        <x:v>37</x:v>
      </x:c>
      <x:c r="Q265" s="37" t="str">
        <x:v>low</x:v>
      </x:c>
      <x:c r="R265" s="37" t="str">
        <x:v>review_required</x:v>
      </x:c>
      <x:c r="S265" s="37" t="str">
        <x:v>False</x:v>
      </x:c>
      <x:c r="T265" s="38" t="str">
        <x:v>Author statement is strong intent evidence, but implementation corroboration and scope interpretation are still required.</x:v>
      </x:c>
      <x:c r="U265" s="37" t="str">
        <x:v>94</x:v>
      </x:c>
      <x:c r="V265" s="37" t="str">
        <x:v>high</x:v>
      </x:c>
      <x:c r="W265" s="37" t="str">
        <x:v>17</x:v>
      </x:c>
      <x:c r="X265" s="37" t="str">
        <x:v>low</x:v>
      </x:c>
      <x:c r="Y265" s="37" t="str">
        <x:v>59</x:v>
      </x:c>
      <x:c r="Z265" s="37" t="str">
        <x:v>medium</x:v>
      </x:c>
      <x:c r="AA265" s="38" t="str"/>
      <x:c r="AB265" s="37" t="str">
        <x:v>review_required</x:v>
      </x:c>
    </x:row>
    <x:row r="266">
      <x:c r="A266" s="37" t="str">
        <x:v>RC-0265</x:v>
      </x:c>
      <x:c r="B266" s="37" t="str">
        <x:v>author_explicit_design</x:v>
      </x:c>
      <x:c r="C266" s="37" t="str">
        <x:v>fomod_description</x:v>
      </x:c>
      <x:c r="D266" s="37" t="str">
        <x:v>explicit_author_claim</x:v>
      </x:c>
      <x:c r="E266" s="37" t="str">
        <x:v>Mysticism</x:v>
      </x:c>
      <x:c r="F266" s="37" t="str"/>
      <x:c r="G266" s="37" t="str">
        <x:v>feature_addon</x:v>
      </x:c>
      <x:c r="H266" s="38" t="str">
        <x:v>Adds a few spells that allow the player to increase their Warmth. Requires Survival Mode.</x:v>
      </x:c>
      <x:c r="I266" s="37" t="str">
        <x:v>1</x:v>
      </x:c>
      <x:c r="J266" s="37" t="str">
        <x:v>FOMOD-011</x:v>
      </x:c>
      <x:c r="K266" s="37" t="str">
        <x:v>author_supplied_installer_description</x:v>
      </x:c>
      <x:c r="L266" s="37" t="str">
        <x:v>not_required_for_claim_text</x:v>
      </x:c>
      <x:c r="M266" s="37" t="str">
        <x:v>not_yet_checked</x:v>
      </x:c>
      <x:c r="N266" s="37" t="str"/>
      <x:c r="O266" s="37" t="str">
        <x:v>optional_or_integration_addon</x:v>
      </x:c>
      <x:c r="P266" s="37" t="str">
        <x:v>29</x:v>
      </x:c>
      <x:c r="Q266" s="37" t="str">
        <x:v>low</x:v>
      </x:c>
      <x:c r="R266" s="37" t="str">
        <x:v>review_required</x:v>
      </x:c>
      <x:c r="S266" s="37" t="str">
        <x:v>False</x:v>
      </x:c>
      <x:c r="T266" s="38" t="str">
        <x:v>Author statement is strong intent evidence, but implementation corroboration and scope interpretation are still required.</x:v>
      </x:c>
      <x:c r="U266" s="37" t="str">
        <x:v>94</x:v>
      </x:c>
      <x:c r="V266" s="37" t="str">
        <x:v>high</x:v>
      </x:c>
      <x:c r="W266" s="37" t="str">
        <x:v>17</x:v>
      </x:c>
      <x:c r="X266" s="37" t="str">
        <x:v>low</x:v>
      </x:c>
      <x:c r="Y266" s="37" t="str">
        <x:v>54</x:v>
      </x:c>
      <x:c r="Z266" s="37" t="str">
        <x:v>medium</x:v>
      </x:c>
      <x:c r="AA266" s="38" t="str">
        <x:v>optional_or_integration_addon</x:v>
      </x:c>
      <x:c r="AB266" s="37" t="str">
        <x:v>review_required</x:v>
      </x:c>
    </x:row>
    <x:row r="267">
      <x:c r="A267" s="37" t="str">
        <x:v>RC-0266</x:v>
      </x:c>
      <x:c r="B267" s="37" t="str">
        <x:v>author_explicit_design</x:v>
      </x:c>
      <x:c r="C267" s="37" t="str">
        <x:v>fomod_description</x:v>
      </x:c>
      <x:c r="D267" s="37" t="str">
        <x:v>explicit_author_claim</x:v>
      </x:c>
      <x:c r="E267" s="37" t="str">
        <x:v>Mysticism</x:v>
      </x:c>
      <x:c r="F267" s="37" t="str"/>
      <x:c r="G267" s="37" t="str">
        <x:v>feature_addon</x:v>
      </x:c>
      <x:c r="H267" s="38" t="str">
        <x:v>Adds a few spells which allows the player to fortify their Jump Height. Requires Po3Tweaks.</x:v>
      </x:c>
      <x:c r="I267" s="37" t="str">
        <x:v>1</x:v>
      </x:c>
      <x:c r="J267" s="37" t="str">
        <x:v>FOMOD-012</x:v>
      </x:c>
      <x:c r="K267" s="37" t="str">
        <x:v>author_supplied_installer_description</x:v>
      </x:c>
      <x:c r="L267" s="37" t="str">
        <x:v>not_required_for_claim_text</x:v>
      </x:c>
      <x:c r="M267" s="37" t="str">
        <x:v>not_yet_checked</x:v>
      </x:c>
      <x:c r="N267" s="37" t="str"/>
      <x:c r="O267" s="37" t="str">
        <x:v>optional_or_integration_addon</x:v>
      </x:c>
      <x:c r="P267" s="37" t="str">
        <x:v>29</x:v>
      </x:c>
      <x:c r="Q267" s="37" t="str">
        <x:v>low</x:v>
      </x:c>
      <x:c r="R267" s="37" t="str">
        <x:v>review_required</x:v>
      </x:c>
      <x:c r="S267" s="37" t="str">
        <x:v>False</x:v>
      </x:c>
      <x:c r="T267" s="38" t="str">
        <x:v>Author statement is strong intent evidence, but implementation corroboration and scope interpretation are still required.</x:v>
      </x:c>
      <x:c r="U267" s="37" t="str">
        <x:v>94</x:v>
      </x:c>
      <x:c r="V267" s="37" t="str">
        <x:v>high</x:v>
      </x:c>
      <x:c r="W267" s="37" t="str">
        <x:v>17</x:v>
      </x:c>
      <x:c r="X267" s="37" t="str">
        <x:v>low</x:v>
      </x:c>
      <x:c r="Y267" s="37" t="str">
        <x:v>54</x:v>
      </x:c>
      <x:c r="Z267" s="37" t="str">
        <x:v>medium</x:v>
      </x:c>
      <x:c r="AA267" s="38" t="str">
        <x:v>optional_or_integration_addon</x:v>
      </x:c>
      <x:c r="AB267" s="37" t="str">
        <x:v>review_required</x:v>
      </x:c>
    </x:row>
    <x:row r="268">
      <x:c r="A268" s="37" t="str">
        <x:v>RC-0267</x:v>
      </x:c>
      <x:c r="B268" s="37" t="str">
        <x:v>author_explicit_design</x:v>
      </x:c>
      <x:c r="C268" s="37" t="str">
        <x:v>fomod_description</x:v>
      </x:c>
      <x:c r="D268" s="37" t="str">
        <x:v>explicit_author_claim</x:v>
      </x:c>
      <x:c r="E268" s="37" t="str">
        <x:v>Mysticism</x:v>
      </x:c>
      <x:c r="F268" s="37" t="str"/>
      <x:c r="G268" s="37" t="str">
        <x:v>compatibility_patch</x:v>
      </x:c>
      <x:c r="H268" s="38" t="str">
        <x:v>A patch for Mysticism and Ordinator. The Vokrii patches are handled by the author on the Vokrii page.</x:v>
      </x:c>
      <x:c r="I268" s="37" t="str">
        <x:v>1</x:v>
      </x:c>
      <x:c r="J268" s="37" t="str">
        <x:v>FOMOD-013</x:v>
      </x:c>
      <x:c r="K268" s="37" t="str">
        <x:v>author_supplied_installer_description</x:v>
      </x:c>
      <x:c r="L268" s="37" t="str">
        <x:v>not_required_for_claim_text</x:v>
      </x:c>
      <x:c r="M268" s="37" t="str">
        <x:v>not_yet_checked</x:v>
      </x:c>
      <x:c r="N268" s="37" t="str"/>
      <x:c r="O268" s="37" t="str">
        <x:v>reversion_or_compatibility_module</x:v>
      </x:c>
      <x:c r="P268" s="37" t="str">
        <x:v>15</x:v>
      </x:c>
      <x:c r="Q268" s="37" t="str">
        <x:v>low</x:v>
      </x:c>
      <x:c r="R268" s="37" t="str">
        <x:v>review_required</x:v>
      </x:c>
      <x:c r="S268" s="37" t="str">
        <x:v>False</x:v>
      </x:c>
      <x:c r="T268" s="38" t="str">
        <x:v>Author statement is strong intent evidence, but implementation corroboration and scope interpretation are still required.</x:v>
      </x:c>
      <x:c r="U268" s="37" t="str">
        <x:v>94</x:v>
      </x:c>
      <x:c r="V268" s="37" t="str">
        <x:v>high</x:v>
      </x:c>
      <x:c r="W268" s="37" t="str">
        <x:v>13</x:v>
      </x:c>
      <x:c r="X268" s="37" t="str">
        <x:v>low</x:v>
      </x:c>
      <x:c r="Y268" s="37" t="str">
        <x:v>53</x:v>
      </x:c>
      <x:c r="Z268" s="37" t="str">
        <x:v>medium</x:v>
      </x:c>
      <x:c r="AA268" s="38" t="str">
        <x:v>reversion_or_compatibility_module</x:v>
      </x:c>
      <x:c r="AB268" s="37" t="str">
        <x:v>review_required</x:v>
      </x:c>
    </x:row>
    <x:row r="269">
      <x:c r="A269" s="37" t="str">
        <x:v>RC-0268</x:v>
      </x:c>
      <x:c r="B269" s="37" t="str">
        <x:v>author_explicit_design</x:v>
      </x:c>
      <x:c r="C269" s="37" t="str">
        <x:v>fomod_description</x:v>
      </x:c>
      <x:c r="D269" s="37" t="str">
        <x:v>explicit_author_claim</x:v>
      </x:c>
      <x:c r="E269" s="37" t="str">
        <x:v>Adamant</x:v>
      </x:c>
      <x:c r="F269" s="37" t="str"/>
      <x:c r="G269" s="37" t="str">
        <x:v>integration_addon</x:v>
      </x:c>
      <x:c r="H269" s="38" t="str">
        <x:v>This patch integrates several Blade &amp; Blunt features into Adamant perks. Highly recommended.</x:v>
      </x:c>
      <x:c r="I269" s="37" t="str">
        <x:v>1</x:v>
      </x:c>
      <x:c r="J269" s="37" t="str">
        <x:v>FOMOD-015</x:v>
      </x:c>
      <x:c r="K269" s="37" t="str">
        <x:v>author_supplied_installer_description</x:v>
      </x:c>
      <x:c r="L269" s="37" t="str">
        <x:v>not_required_for_claim_text</x:v>
      </x:c>
      <x:c r="M269" s="37" t="str">
        <x:v>not_yet_checked</x:v>
      </x:c>
      <x:c r="N269" s="37" t="str"/>
      <x:c r="O269" s="37" t="str">
        <x:v>optional_or_integration_addon</x:v>
      </x:c>
      <x:c r="P269" s="37" t="str">
        <x:v>29</x:v>
      </x:c>
      <x:c r="Q269" s="37" t="str">
        <x:v>low</x:v>
      </x:c>
      <x:c r="R269" s="37" t="str">
        <x:v>review_required</x:v>
      </x:c>
      <x:c r="S269" s="37" t="str">
        <x:v>False</x:v>
      </x:c>
      <x:c r="T269" s="38" t="str">
        <x:v>Author statement is strong intent evidence, but implementation corroboration and scope interpretation are still required.</x:v>
      </x:c>
      <x:c r="U269" s="37" t="str">
        <x:v>94</x:v>
      </x:c>
      <x:c r="V269" s="37" t="str">
        <x:v>high</x:v>
      </x:c>
      <x:c r="W269" s="37" t="str">
        <x:v>17</x:v>
      </x:c>
      <x:c r="X269" s="37" t="str">
        <x:v>low</x:v>
      </x:c>
      <x:c r="Y269" s="37" t="str">
        <x:v>54</x:v>
      </x:c>
      <x:c r="Z269" s="37" t="str">
        <x:v>medium</x:v>
      </x:c>
      <x:c r="AA269" s="38" t="str">
        <x:v>optional_or_integration_addon</x:v>
      </x:c>
      <x:c r="AB269" s="37" t="str">
        <x:v>review_required</x:v>
      </x:c>
    </x:row>
    <x:row r="270">
      <x:c r="A270" s="37" t="str">
        <x:v>RC-0269</x:v>
      </x:c>
      <x:c r="B270" s="37" t="str">
        <x:v>author_explicit_design</x:v>
      </x:c>
      <x:c r="C270" s="37" t="str">
        <x:v>fomod_description</x:v>
      </x:c>
      <x:c r="D270" s="37" t="str">
        <x:v>explicit_author_claim</x:v>
      </x:c>
      <x:c r="E270" s="37" t="str">
        <x:v>Adamant</x:v>
      </x:c>
      <x:c r="F270" s="37" t="str"/>
      <x:c r="G270" s="37" t="str">
        <x:v>runtime_settings</x:v>
      </x:c>
      <x:c r="H270" s="38" t="str">
        <x:v>Scrambled Bugs settings for Adamant and Blade &amp; Blunt. Without these settings, several Adamant perks will not function. This file can be used with or without Blade &amp; Blunt.</x:v>
      </x:c>
      <x:c r="I270" s="37" t="str">
        <x:v>1</x:v>
      </x:c>
      <x:c r="J270" s="37" t="str">
        <x:v>FOMOD-016</x:v>
      </x:c>
      <x:c r="K270" s="37" t="str">
        <x:v>author_supplied_installer_description</x:v>
      </x:c>
      <x:c r="L270" s="37" t="str">
        <x:v>not_required_for_claim_text</x:v>
      </x:c>
      <x:c r="M270" s="37" t="str">
        <x:v>not_yet_checked</x:v>
      </x:c>
      <x:c r="N270" s="37" t="str"/>
      <x:c r="O270" s="37" t="str"/>
      <x:c r="P270" s="37" t="str">
        <x:v>37</x:v>
      </x:c>
      <x:c r="Q270" s="37" t="str">
        <x:v>low</x:v>
      </x:c>
      <x:c r="R270" s="37" t="str">
        <x:v>review_required</x:v>
      </x:c>
      <x:c r="S270" s="37" t="str">
        <x:v>False</x:v>
      </x:c>
      <x:c r="T270" s="38" t="str">
        <x:v>Author statement is strong intent evidence, but implementation corroboration and scope interpretation are still required.</x:v>
      </x:c>
      <x:c r="U270" s="37" t="str">
        <x:v>88</x:v>
      </x:c>
      <x:c r="V270" s="37" t="str">
        <x:v>high</x:v>
      </x:c>
      <x:c r="W270" s="37" t="str">
        <x:v>25</x:v>
      </x:c>
      <x:c r="X270" s="37" t="str">
        <x:v>low</x:v>
      </x:c>
      <x:c r="Y270" s="37" t="str">
        <x:v>60</x:v>
      </x:c>
      <x:c r="Z270" s="37" t="str">
        <x:v>medium</x:v>
      </x:c>
      <x:c r="AA270" s="38" t="str"/>
      <x:c r="AB270" s="37" t="str">
        <x:v>review_required</x:v>
      </x:c>
    </x:row>
    <x:row r="271">
      <x:c r="A271" s="37" t="str">
        <x:v>RC-0270</x:v>
      </x:c>
      <x:c r="B271" s="37" t="str">
        <x:v>author_explicit_design</x:v>
      </x:c>
      <x:c r="C271" s="37" t="str">
        <x:v>fomod_description</x:v>
      </x:c>
      <x:c r="D271" s="37" t="str">
        <x:v>explicit_author_claim</x:v>
      </x:c>
      <x:c r="E271" s="37" t="str">
        <x:v>Adamant</x:v>
      </x:c>
      <x:c r="F271" s="37" t="str"/>
      <x:c r="G271" s="37" t="str">
        <x:v>integration_addon</x:v>
      </x:c>
      <x:c r="H271" s="38" t="str">
        <x:v>This addon integrates crossbow perks into the Adamant archery tree.</x:v>
      </x:c>
      <x:c r="I271" s="37" t="str">
        <x:v>1</x:v>
      </x:c>
      <x:c r="J271" s="37" t="str">
        <x:v>FOMOD-017</x:v>
      </x:c>
      <x:c r="K271" s="37" t="str">
        <x:v>author_supplied_installer_description</x:v>
      </x:c>
      <x:c r="L271" s="37" t="str">
        <x:v>not_required_for_claim_text</x:v>
      </x:c>
      <x:c r="M271" s="37" t="str">
        <x:v>not_yet_checked</x:v>
      </x:c>
      <x:c r="N271" s="37" t="str"/>
      <x:c r="O271" s="37" t="str">
        <x:v>optional_or_integration_addon</x:v>
      </x:c>
      <x:c r="P271" s="37" t="str">
        <x:v>29</x:v>
      </x:c>
      <x:c r="Q271" s="37" t="str">
        <x:v>low</x:v>
      </x:c>
      <x:c r="R271" s="37" t="str">
        <x:v>review_required</x:v>
      </x:c>
      <x:c r="S271" s="37" t="str">
        <x:v>False</x:v>
      </x:c>
      <x:c r="T271" s="38" t="str">
        <x:v>Author statement is strong intent evidence, but implementation corroboration and scope interpretation are still required.</x:v>
      </x:c>
      <x:c r="U271" s="37" t="str">
        <x:v>94</x:v>
      </x:c>
      <x:c r="V271" s="37" t="str">
        <x:v>high</x:v>
      </x:c>
      <x:c r="W271" s="37" t="str">
        <x:v>17</x:v>
      </x:c>
      <x:c r="X271" s="37" t="str">
        <x:v>low</x:v>
      </x:c>
      <x:c r="Y271" s="37" t="str">
        <x:v>54</x:v>
      </x:c>
      <x:c r="Z271" s="37" t="str">
        <x:v>medium</x:v>
      </x:c>
      <x:c r="AA271" s="38" t="str">
        <x:v>optional_or_integration_addon</x:v>
      </x:c>
      <x:c r="AB271" s="37" t="str">
        <x:v>review_required</x:v>
      </x:c>
    </x:row>
    <x:row r="272">
      <x:c r="A272" s="37" t="str">
        <x:v>RC-0271</x:v>
      </x:c>
      <x:c r="B272" s="37" t="str">
        <x:v>author_explicit_design</x:v>
      </x:c>
      <x:c r="C272" s="37" t="str">
        <x:v>fomod_description</x:v>
      </x:c>
      <x:c r="D272" s="37" t="str">
        <x:v>explicit_author_claim</x:v>
      </x:c>
      <x:c r="E272" s="37" t="str">
        <x:v>Adamant</x:v>
      </x:c>
      <x:c r="F272" s="37" t="str"/>
      <x:c r="G272" s="37" t="str">
        <x:v>feature_addon</x:v>
      </x:c>
      <x:c r="H272" s="38" t="str">
        <x:v>This addon replaces the Vanilla tempering progression with a new sysem that scales from +1 to +10. Requires Improvement Names Customized.</x:v>
      </x:c>
      <x:c r="I272" s="37" t="str">
        <x:v>1</x:v>
      </x:c>
      <x:c r="J272" s="37" t="str">
        <x:v>FOMOD-018</x:v>
      </x:c>
      <x:c r="K272" s="37" t="str">
        <x:v>author_supplied_installer_description</x:v>
      </x:c>
      <x:c r="L272" s="37" t="str">
        <x:v>not_required_for_claim_text</x:v>
      </x:c>
      <x:c r="M272" s="37" t="str">
        <x:v>not_yet_checked</x:v>
      </x:c>
      <x:c r="N272" s="37" t="str"/>
      <x:c r="O272" s="37" t="str">
        <x:v>optional_or_integration_addon</x:v>
      </x:c>
      <x:c r="P272" s="37" t="str">
        <x:v>29</x:v>
      </x:c>
      <x:c r="Q272" s="37" t="str">
        <x:v>low</x:v>
      </x:c>
      <x:c r="R272" s="37" t="str">
        <x:v>review_required</x:v>
      </x:c>
      <x:c r="S272" s="37" t="str">
        <x:v>False</x:v>
      </x:c>
      <x:c r="T272" s="38" t="str">
        <x:v>Author statement is strong intent evidence, but implementation corroboration and scope interpretation are still required.</x:v>
      </x:c>
      <x:c r="U272" s="37" t="str">
        <x:v>94</x:v>
      </x:c>
      <x:c r="V272" s="37" t="str">
        <x:v>high</x:v>
      </x:c>
      <x:c r="W272" s="37" t="str">
        <x:v>17</x:v>
      </x:c>
      <x:c r="X272" s="37" t="str">
        <x:v>low</x:v>
      </x:c>
      <x:c r="Y272" s="37" t="str">
        <x:v>54</x:v>
      </x:c>
      <x:c r="Z272" s="37" t="str">
        <x:v>medium</x:v>
      </x:c>
      <x:c r="AA272" s="38" t="str">
        <x:v>optional_or_integration_addon</x:v>
      </x:c>
      <x:c r="AB272" s="37" t="str">
        <x:v>review_required</x:v>
      </x:c>
    </x:row>
    <x:row r="273">
      <x:c r="A273" s="37" t="str">
        <x:v>RC-0272</x:v>
      </x:c>
      <x:c r="B273" s="37" t="str">
        <x:v>author_explicit_design</x:v>
      </x:c>
      <x:c r="C273" s="37" t="str">
        <x:v>fomod_description</x:v>
      </x:c>
      <x:c r="D273" s="37" t="str">
        <x:v>explicit_author_claim</x:v>
      </x:c>
      <x:c r="E273" s="37" t="str">
        <x:v>Adamant</x:v>
      </x:c>
      <x:c r="F273" s="37" t="str"/>
      <x:c r="G273" s="37" t="str">
        <x:v>compatibility_patch</x:v>
      </x:c>
      <x:c r="H273" s="38" t="str">
        <x:v>This plugin patches all sources of Attack Speed in Simonrim. Comprehensive Attack Rate Patch is recommended to patch for sources of Attack Speed outside of Simonrim.</x:v>
      </x:c>
      <x:c r="I273" s="37" t="str">
        <x:v>1</x:v>
      </x:c>
      <x:c r="J273" s="37" t="str">
        <x:v>FOMOD-019</x:v>
      </x:c>
      <x:c r="K273" s="37" t="str">
        <x:v>author_supplied_installer_description</x:v>
      </x:c>
      <x:c r="L273" s="37" t="str">
        <x:v>not_required_for_claim_text</x:v>
      </x:c>
      <x:c r="M273" s="37" t="str">
        <x:v>not_yet_checked</x:v>
      </x:c>
      <x:c r="N273" s="37" t="str"/>
      <x:c r="O273" s="37" t="str">
        <x:v>reversion_or_compatibility_module</x:v>
      </x:c>
      <x:c r="P273" s="37" t="str">
        <x:v>15</x:v>
      </x:c>
      <x:c r="Q273" s="37" t="str">
        <x:v>low</x:v>
      </x:c>
      <x:c r="R273" s="37" t="str">
        <x:v>review_required</x:v>
      </x:c>
      <x:c r="S273" s="37" t="str">
        <x:v>False</x:v>
      </x:c>
      <x:c r="T273" s="38" t="str">
        <x:v>Author statement is strong intent evidence, but implementation corroboration and scope interpretation are still required.</x:v>
      </x:c>
      <x:c r="U273" s="37" t="str">
        <x:v>94</x:v>
      </x:c>
      <x:c r="V273" s="37" t="str">
        <x:v>high</x:v>
      </x:c>
      <x:c r="W273" s="37" t="str">
        <x:v>13</x:v>
      </x:c>
      <x:c r="X273" s="37" t="str">
        <x:v>low</x:v>
      </x:c>
      <x:c r="Y273" s="37" t="str">
        <x:v>53</x:v>
      </x:c>
      <x:c r="Z273" s="37" t="str">
        <x:v>medium</x:v>
      </x:c>
      <x:c r="AA273" s="38" t="str">
        <x:v>reversion_or_compatibility_module</x:v>
      </x:c>
      <x:c r="AB273" s="37" t="str">
        <x:v>review_required</x:v>
      </x:c>
    </x:row>
    <x:row r="274">
      <x:c r="A274" s="37" t="str">
        <x:v>RC-0273</x:v>
      </x:c>
      <x:c r="B274" s="37" t="str">
        <x:v>author_explicit_design</x:v>
      </x:c>
      <x:c r="C274" s="37" t="str">
        <x:v>fomod_description</x:v>
      </x:c>
      <x:c r="D274" s="37" t="str">
        <x:v>explicit_author_claim</x:v>
      </x:c>
      <x:c r="E274" s="37" t="str">
        <x:v>Adamant</x:v>
      </x:c>
      <x:c r="F274" s="37" t="str"/>
      <x:c r="G274" s="37" t="str">
        <x:v>compatibility_patch</x:v>
      </x:c>
      <x:c r="H274" s="38" t="str">
        <x:v>This plugin patches the Saints and Seducers creation for Adamant's smithing perks.</x:v>
      </x:c>
      <x:c r="I274" s="37" t="str">
        <x:v>1</x:v>
      </x:c>
      <x:c r="J274" s="37" t="str">
        <x:v>FOMOD-020</x:v>
      </x:c>
      <x:c r="K274" s="37" t="str">
        <x:v>author_supplied_installer_description</x:v>
      </x:c>
      <x:c r="L274" s="37" t="str">
        <x:v>not_required_for_claim_text</x:v>
      </x:c>
      <x:c r="M274" s="37" t="str">
        <x:v>not_yet_checked</x:v>
      </x:c>
      <x:c r="N274" s="37" t="str"/>
      <x:c r="O274" s="37" t="str">
        <x:v>reversion_or_compatibility_module</x:v>
      </x:c>
      <x:c r="P274" s="37" t="str">
        <x:v>15</x:v>
      </x:c>
      <x:c r="Q274" s="37" t="str">
        <x:v>low</x:v>
      </x:c>
      <x:c r="R274" s="37" t="str">
        <x:v>review_required</x:v>
      </x:c>
      <x:c r="S274" s="37" t="str">
        <x:v>False</x:v>
      </x:c>
      <x:c r="T274" s="38" t="str">
        <x:v>Author statement is strong intent evidence, but implementation corroboration and scope interpretation are still required.</x:v>
      </x:c>
      <x:c r="U274" s="37" t="str">
        <x:v>88</x:v>
      </x:c>
      <x:c r="V274" s="37" t="str">
        <x:v>high</x:v>
      </x:c>
      <x:c r="W274" s="37" t="str">
        <x:v>13</x:v>
      </x:c>
      <x:c r="X274" s="37" t="str">
        <x:v>low</x:v>
      </x:c>
      <x:c r="Y274" s="37" t="str">
        <x:v>49</x:v>
      </x:c>
      <x:c r="Z274" s="37" t="str">
        <x:v>low</x:v>
      </x:c>
      <x:c r="AA274" s="38" t="str">
        <x:v>reversion_or_compatibility_module</x:v>
      </x:c>
      <x:c r="AB274" s="37" t="str">
        <x:v>review_required</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20" hidden="0" customWidth="1"/>
    <x:col min="2" max="2" width="24" hidden="0" customWidth="1"/>
    <x:col min="3" max="3" width="2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38"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s>
  <x:sheetData>
    <x:row r="1">
      <x:c r="A1" s="36" t="str">
        <x:v>candidate_id</x:v>
      </x:c>
      <x:c r="B1" s="36" t="str">
        <x:v>evidence_id</x:v>
      </x:c>
      <x:c r="C1" s="36" t="str">
        <x:v>plugin</x:v>
      </x:c>
      <x:c r="D1" s="36" t="str">
        <x:v>implementation_status</x:v>
      </x:c>
      <x:c r="E1" s="36" t="str">
        <x:v>record_count</x:v>
      </x:c>
      <x:c r="F1" s="36" t="str">
        <x:v>exact_imported_baseline_count</x:v>
      </x:c>
      <x:c r="G1" s="36" t="str">
        <x:v>external_baseline_count</x:v>
      </x:c>
      <x:c r="H1" s="36" t="str">
        <x:v>new_record_count</x:v>
      </x:c>
      <x:c r="I1" s="36" t="str">
        <x:v>perk_tree_delta_count</x:v>
      </x:c>
      <x:c r="J1" s="36" t="str">
        <x:v>setting_delta_count</x:v>
      </x:c>
      <x:c r="K1" s="36" t="str">
        <x:v>config_evidence_count</x:v>
      </x:c>
      <x:c r="L1" s="36" t="str">
        <x:v>corroborating_evidence_refs</x:v>
      </x:c>
      <x:c r="M1" s="36" t="str">
        <x:v>original_confidence_score</x:v>
      </x:c>
      <x:c r="N1" s="36" t="str">
        <x:v>corroboration_bonus</x:v>
      </x:c>
      <x:c r="O1" s="36" t="str">
        <x:v>revised_confidence_score</x:v>
      </x:c>
      <x:c r="P1" s="36" t="str">
        <x:v>revised_confidence_label</x:v>
      </x:c>
      <x:c r="Q1" s="36" t="str">
        <x:v>promotion_status</x:v>
      </x:c>
      <x:c r="R1" s="36" t="str">
        <x:v>approved_rule</x:v>
      </x:c>
      <x:c r="S1" s="36" t="str">
        <x:v>notes</x:v>
      </x:c>
    </x:row>
    <x:row r="2">
      <x:c r="A2" s="37" t="str">
        <x:v>RC-0257</x:v>
      </x:c>
      <x:c r="B2" s="37" t="str">
        <x:v>FOMOD-002</x:v>
      </x:c>
      <x:c r="C2" s="37" t="str">
        <x:v>BBNoKillmoves.esp</x:v>
      </x:c>
      <x:c r="D2" s="37" t="str">
        <x:v>implementation_present_baseline_limited</x:v>
      </x:c>
      <x:c r="E2" s="37" t="str">
        <x:v>6</x:v>
      </x:c>
      <x:c r="F2" s="37" t="str">
        <x:v>0</x:v>
      </x:c>
      <x:c r="G2" s="37" t="str">
        <x:v>6</x:v>
      </x:c>
      <x:c r="H2" s="37" t="str">
        <x:v>0</x:v>
      </x:c>
      <x:c r="I2" s="37" t="str">
        <x:v>0</x:v>
      </x:c>
      <x:c r="J2" s="37" t="str">
        <x:v>0</x:v>
      </x:c>
      <x:c r="K2" s="37" t="str">
        <x:v>0</x:v>
      </x:c>
      <x:c r="L2" s="38" t="str">
        <x:v>resolved_forms:BBNoKillmoves.esp:6;external_baselines:6</x:v>
      </x:c>
      <x:c r="M2" s="37" t="str">
        <x:v>15</x:v>
      </x:c>
      <x:c r="N2" s="37" t="str">
        <x:v>10</x:v>
      </x:c>
      <x:c r="O2" s="37" t="str">
        <x:v>25</x:v>
      </x:c>
      <x:c r="P2" s="37" t="str">
        <x:v>low</x:v>
      </x:c>
      <x:c r="Q2" s="37" t="str">
        <x:v>review_required</x:v>
      </x:c>
      <x:c r="R2" s="37" t="str">
        <x:v>False</x:v>
      </x:c>
      <x:c r="S2" s="37" t="str">
        <x:v>Corroboration confirms implementation presence/scope; it does not by itself prove a general design law.</x:v>
      </x:c>
    </x:row>
    <x:row r="3">
      <x:c r="A3" s="37" t="str">
        <x:v>RC-0258</x:v>
      </x:c>
      <x:c r="B3" s="37" t="str">
        <x:v>FOMOD-003</x:v>
      </x:c>
      <x:c r="C3" s="37" t="str">
        <x:v>BBNoPowerAttackChanges.esp</x:v>
      </x:c>
      <x:c r="D3" s="37" t="str">
        <x:v>strong_implementation_corroboration</x:v>
      </x:c>
      <x:c r="E3" s="37" t="str">
        <x:v>1</x:v>
      </x:c>
      <x:c r="F3" s="37" t="str">
        <x:v>1</x:v>
      </x:c>
      <x:c r="G3" s="37" t="str">
        <x:v>0</x:v>
      </x:c>
      <x:c r="H3" s="37" t="str">
        <x:v>0</x:v>
      </x:c>
      <x:c r="I3" s="37" t="str">
        <x:v>0</x:v>
      </x:c>
      <x:c r="J3" s="37" t="str">
        <x:v>0</x:v>
      </x:c>
      <x:c r="K3" s="37" t="str">
        <x:v>0</x:v>
      </x:c>
      <x:c r="L3" s="38" t="str">
        <x:v>resolved_forms:BBNoPowerAttackChanges.esp:1;exact_imported_baselines:1</x:v>
      </x:c>
      <x:c r="M3" s="37" t="str">
        <x:v>15</x:v>
      </x:c>
      <x:c r="N3" s="37" t="str">
        <x:v>18</x:v>
      </x:c>
      <x:c r="O3" s="37" t="str">
        <x:v>33</x:v>
      </x:c>
      <x:c r="P3" s="37" t="str">
        <x:v>low</x:v>
      </x:c>
      <x:c r="Q3" s="37" t="str">
        <x:v>review_required</x:v>
      </x:c>
      <x:c r="R3" s="37" t="str">
        <x:v>False</x:v>
      </x:c>
      <x:c r="S3" s="37" t="str">
        <x:v>Corroboration confirms implementation presence/scope; it does not by itself prove a general design law.</x:v>
      </x:c>
    </x:row>
    <x:row r="4">
      <x:c r="A4" s="37" t="str">
        <x:v>RC-0259</x:v>
      </x:c>
      <x:c r="B4" s="37" t="str">
        <x:v>FOMOD-004</x:v>
      </x:c>
      <x:c r="C4" s="37" t="str">
        <x:v>BBNoSprintChanges.esp</x:v>
      </x:c>
      <x:c r="D4" s="37" t="str">
        <x:v>strong_implementation_corroboration</x:v>
      </x:c>
      <x:c r="E4" s="37" t="str">
        <x:v>3</x:v>
      </x:c>
      <x:c r="F4" s="37" t="str">
        <x:v>3</x:v>
      </x:c>
      <x:c r="G4" s="37" t="str">
        <x:v>0</x:v>
      </x:c>
      <x:c r="H4" s="37" t="str">
        <x:v>0</x:v>
      </x:c>
      <x:c r="I4" s="37" t="str">
        <x:v>0</x:v>
      </x:c>
      <x:c r="J4" s="37" t="str">
        <x:v>1</x:v>
      </x:c>
      <x:c r="K4" s="37" t="str">
        <x:v>0</x:v>
      </x:c>
      <x:c r="L4" s="38" t="str">
        <x:v>resolved_forms:BBNoSprintChanges.esp:3;exact_imported_baselines:3;setting_deltas:1</x:v>
      </x:c>
      <x:c r="M4" s="37" t="str">
        <x:v>15</x:v>
      </x:c>
      <x:c r="N4" s="37" t="str">
        <x:v>18</x:v>
      </x:c>
      <x:c r="O4" s="37" t="str">
        <x:v>33</x:v>
      </x:c>
      <x:c r="P4" s="37" t="str">
        <x:v>low</x:v>
      </x:c>
      <x:c r="Q4" s="37" t="str">
        <x:v>review_required</x:v>
      </x:c>
      <x:c r="R4" s="37" t="str">
        <x:v>False</x:v>
      </x:c>
      <x:c r="S4" s="37" t="str">
        <x:v>Corroboration confirms implementation presence/scope; it does not by itself prove a general design law.</x:v>
      </x:c>
    </x:row>
    <x:row r="5">
      <x:c r="A5" s="37" t="str">
        <x:v>RC-0260</x:v>
      </x:c>
      <x:c r="B5" s="37" t="str">
        <x:v>FOMOD-005</x:v>
      </x:c>
      <x:c r="C5" s="37" t="str">
        <x:v>BBNoCastingChanges.esp</x:v>
      </x:c>
      <x:c r="D5" s="37" t="str">
        <x:v>strong_implementation_corroboration</x:v>
      </x:c>
      <x:c r="E5" s="37" t="str">
        <x:v>1</x:v>
      </x:c>
      <x:c r="F5" s="37" t="str">
        <x:v>1</x:v>
      </x:c>
      <x:c r="G5" s="37" t="str">
        <x:v>0</x:v>
      </x:c>
      <x:c r="H5" s="37" t="str">
        <x:v>0</x:v>
      </x:c>
      <x:c r="I5" s="37" t="str">
        <x:v>0</x:v>
      </x:c>
      <x:c r="J5" s="37" t="str">
        <x:v>0</x:v>
      </x:c>
      <x:c r="K5" s="37" t="str">
        <x:v>0</x:v>
      </x:c>
      <x:c r="L5" s="38" t="str">
        <x:v>resolved_forms:BBNoCastingChanges.esp:1;exact_imported_baselines:1</x:v>
      </x:c>
      <x:c r="M5" s="37" t="str">
        <x:v>15</x:v>
      </x:c>
      <x:c r="N5" s="37" t="str">
        <x:v>18</x:v>
      </x:c>
      <x:c r="O5" s="37" t="str">
        <x:v>33</x:v>
      </x:c>
      <x:c r="P5" s="37" t="str">
        <x:v>low</x:v>
      </x:c>
      <x:c r="Q5" s="37" t="str">
        <x:v>review_required</x:v>
      </x:c>
      <x:c r="R5" s="37" t="str">
        <x:v>False</x:v>
      </x:c>
      <x:c r="S5" s="37" t="str">
        <x:v>Corroboration confirms implementation presence/scope; it does not by itself prove a general design law.</x:v>
      </x:c>
    </x:row>
    <x:row r="6">
      <x:c r="A6" s="37" t="str">
        <x:v>RC-0261</x:v>
      </x:c>
      <x:c r="B6" s="37" t="str">
        <x:v>FOMOD-006</x:v>
      </x:c>
      <x:c r="C6" s="37" t="str">
        <x:v>BBNoSneakCost.esp</x:v>
      </x:c>
      <x:c r="D6" s="37" t="str">
        <x:v>strong_implementation_corroboration</x:v>
      </x:c>
      <x:c r="E6" s="37" t="str">
        <x:v>1</x:v>
      </x:c>
      <x:c r="F6" s="37" t="str">
        <x:v>1</x:v>
      </x:c>
      <x:c r="G6" s="37" t="str">
        <x:v>0</x:v>
      </x:c>
      <x:c r="H6" s="37" t="str">
        <x:v>0</x:v>
      </x:c>
      <x:c r="I6" s="37" t="str">
        <x:v>0</x:v>
      </x:c>
      <x:c r="J6" s="37" t="str">
        <x:v>0</x:v>
      </x:c>
      <x:c r="K6" s="37" t="str">
        <x:v>0</x:v>
      </x:c>
      <x:c r="L6" s="38" t="str">
        <x:v>resolved_forms:BBNoSneakCost.esp:1;exact_imported_baselines:1</x:v>
      </x:c>
      <x:c r="M6" s="37" t="str">
        <x:v>15</x:v>
      </x:c>
      <x:c r="N6" s="37" t="str">
        <x:v>18</x:v>
      </x:c>
      <x:c r="O6" s="37" t="str">
        <x:v>33</x:v>
      </x:c>
      <x:c r="P6" s="37" t="str">
        <x:v>low</x:v>
      </x:c>
      <x:c r="Q6" s="37" t="str">
        <x:v>review_required</x:v>
      </x:c>
      <x:c r="R6" s="37" t="str">
        <x:v>False</x:v>
      </x:c>
      <x:c r="S6" s="37" t="str">
        <x:v>Corroboration confirms implementation presence/scope; it does not by itself prove a general design law.</x:v>
      </x:c>
    </x:row>
    <x:row r="7">
      <x:c r="A7" s="37" t="str">
        <x:v>RC-0262</x:v>
      </x:c>
      <x:c r="B7" s="37" t="str">
        <x:v>FOMOD-007</x:v>
      </x:c>
      <x:c r="C7" s="37" t="str">
        <x:v>BBNoJumpCost.esp</x:v>
      </x:c>
      <x:c r="D7" s="37" t="str">
        <x:v>strong_implementation_corroboration</x:v>
      </x:c>
      <x:c r="E7" s="37" t="str">
        <x:v>1</x:v>
      </x:c>
      <x:c r="F7" s="37" t="str">
        <x:v>1</x:v>
      </x:c>
      <x:c r="G7" s="37" t="str">
        <x:v>0</x:v>
      </x:c>
      <x:c r="H7" s="37" t="str">
        <x:v>0</x:v>
      </x:c>
      <x:c r="I7" s="37" t="str">
        <x:v>0</x:v>
      </x:c>
      <x:c r="J7" s="37" t="str">
        <x:v>0</x:v>
      </x:c>
      <x:c r="K7" s="37" t="str">
        <x:v>0</x:v>
      </x:c>
      <x:c r="L7" s="38" t="str">
        <x:v>resolved_forms:BBNoJumpCost.esp:1;exact_imported_baselines:1</x:v>
      </x:c>
      <x:c r="M7" s="37" t="str">
        <x:v>15</x:v>
      </x:c>
      <x:c r="N7" s="37" t="str">
        <x:v>18</x:v>
      </x:c>
      <x:c r="O7" s="37" t="str">
        <x:v>33</x:v>
      </x:c>
      <x:c r="P7" s="37" t="str">
        <x:v>low</x:v>
      </x:c>
      <x:c r="Q7" s="37" t="str">
        <x:v>review_required</x:v>
      </x:c>
      <x:c r="R7" s="37" t="str">
        <x:v>False</x:v>
      </x:c>
      <x:c r="S7" s="37" t="str">
        <x:v>Corroboration confirms implementation presence/scope; it does not by itself prove a general design law.</x:v>
      </x:c>
    </x:row>
    <x:row r="8">
      <x:c r="A8" s="37" t="str">
        <x:v>RC-0263</x:v>
      </x:c>
      <x:c r="B8" s="37" t="str">
        <x:v>FOMOD-008</x:v>
      </x:c>
      <x:c r="C8" s="37" t="str">
        <x:v>BBNoSwimCost.esp</x:v>
      </x:c>
      <x:c r="D8" s="37" t="str">
        <x:v>strong_implementation_corroboration</x:v>
      </x:c>
      <x:c r="E8" s="37" t="str">
        <x:v>1</x:v>
      </x:c>
      <x:c r="F8" s="37" t="str">
        <x:v>1</x:v>
      </x:c>
      <x:c r="G8" s="37" t="str">
        <x:v>0</x:v>
      </x:c>
      <x:c r="H8" s="37" t="str">
        <x:v>0</x:v>
      </x:c>
      <x:c r="I8" s="37" t="str">
        <x:v>0</x:v>
      </x:c>
      <x:c r="J8" s="37" t="str">
        <x:v>0</x:v>
      </x:c>
      <x:c r="K8" s="37" t="str">
        <x:v>0</x:v>
      </x:c>
      <x:c r="L8" s="38" t="str">
        <x:v>resolved_forms:BBNoSwimCost.esp:1;exact_imported_baselines:1</x:v>
      </x:c>
      <x:c r="M8" s="37" t="str">
        <x:v>15</x:v>
      </x:c>
      <x:c r="N8" s="37" t="str">
        <x:v>18</x:v>
      </x:c>
      <x:c r="O8" s="37" t="str">
        <x:v>33</x:v>
      </x:c>
      <x:c r="P8" s="37" t="str">
        <x:v>low</x:v>
      </x:c>
      <x:c r="Q8" s="37" t="str">
        <x:v>review_required</x:v>
      </x:c>
      <x:c r="R8" s="37" t="str">
        <x:v>False</x:v>
      </x:c>
      <x:c r="S8" s="37" t="str">
        <x:v>Corroboration confirms implementation presence/scope; it does not by itself prove a general design law.</x:v>
      </x:c>
    </x:row>
    <x:row r="9">
      <x:c r="A9" s="37" t="str">
        <x:v>RC-0264</x:v>
      </x:c>
      <x:c r="B9" s="37" t="str">
        <x:v>FOMOD-010</x:v>
      </x:c>
      <x:c r="C9" s="37" t="str">
        <x:v>MysticismSlowerUnlocks.esp</x:v>
      </x:c>
      <x:c r="D9" s="37" t="str">
        <x:v>strong_implementation_corroboration</x:v>
      </x:c>
      <x:c r="E9" s="37" t="str">
        <x:v>19</x:v>
      </x:c>
      <x:c r="F9" s="37" t="str">
        <x:v>15</x:v>
      </x:c>
      <x:c r="G9" s="37" t="str">
        <x:v>3</x:v>
      </x:c>
      <x:c r="H9" s="37" t="str">
        <x:v>1</x:v>
      </x:c>
      <x:c r="I9" s="37" t="str">
        <x:v>0</x:v>
      </x:c>
      <x:c r="J9" s="37" t="str">
        <x:v>0</x:v>
      </x:c>
      <x:c r="K9" s="37" t="str">
        <x:v>0</x:v>
      </x:c>
      <x:c r="L9" s="38" t="str">
        <x:v>resolved_forms:MysticismSlowerUnlocks.esp:19;exact_imported_baselines:15;external_baselines:3;new_records:1</x:v>
      </x:c>
      <x:c r="M9" s="37" t="str">
        <x:v>37</x:v>
      </x:c>
      <x:c r="N9" s="37" t="str">
        <x:v>18</x:v>
      </x:c>
      <x:c r="O9" s="37" t="str">
        <x:v>55</x:v>
      </x:c>
      <x:c r="P9" s="37" t="str">
        <x:v>medium</x:v>
      </x:c>
      <x:c r="Q9" s="37" t="str">
        <x:v>review_required</x:v>
      </x:c>
      <x:c r="R9" s="37" t="str">
        <x:v>False</x:v>
      </x:c>
      <x:c r="S9" s="37" t="str">
        <x:v>Corroboration confirms implementation presence/scope; it does not by itself prove a general design law.</x:v>
      </x:c>
    </x:row>
    <x:row r="10">
      <x:c r="A10" s="37" t="str">
        <x:v>RC-0265</x:v>
      </x:c>
      <x:c r="B10" s="37" t="str">
        <x:v>FOMOD-011</x:v>
      </x:c>
      <x:c r="C10" s="37" t="str">
        <x:v>MysticismSurvivalSpells.esp</x:v>
      </x:c>
      <x:c r="D10" s="37" t="str">
        <x:v>strong_implementation_corroboration</x:v>
      </x:c>
      <x:c r="E10" s="37" t="str">
        <x:v>14</x:v>
      </x:c>
      <x:c r="F10" s="37" t="str">
        <x:v>4</x:v>
      </x:c>
      <x:c r="G10" s="37" t="str">
        <x:v>0</x:v>
      </x:c>
      <x:c r="H10" s="37" t="str">
        <x:v>10</x:v>
      </x:c>
      <x:c r="I10" s="37" t="str">
        <x:v>0</x:v>
      </x:c>
      <x:c r="J10" s="37" t="str">
        <x:v>0</x:v>
      </x:c>
      <x:c r="K10" s="37" t="str">
        <x:v>0</x:v>
      </x:c>
      <x:c r="L10" s="38" t="str">
        <x:v>resolved_forms:MysticismSurvivalSpells.esp:14;exact_imported_baselines:4;new_records:10</x:v>
      </x:c>
      <x:c r="M10" s="37" t="str">
        <x:v>29</x:v>
      </x:c>
      <x:c r="N10" s="37" t="str">
        <x:v>18</x:v>
      </x:c>
      <x:c r="O10" s="37" t="str">
        <x:v>47</x:v>
      </x:c>
      <x:c r="P10" s="37" t="str">
        <x:v>low</x:v>
      </x:c>
      <x:c r="Q10" s="37" t="str">
        <x:v>review_required</x:v>
      </x:c>
      <x:c r="R10" s="37" t="str">
        <x:v>False</x:v>
      </x:c>
      <x:c r="S10" s="37" t="str">
        <x:v>Corroboration confirms implementation presence/scope; it does not by itself prove a general design law.</x:v>
      </x:c>
    </x:row>
    <x:row r="11">
      <x:c r="A11" s="37" t="str">
        <x:v>RC-0266</x:v>
      </x:c>
      <x:c r="B11" s="37" t="str">
        <x:v>FOMOD-012</x:v>
      </x:c>
      <x:c r="C11" s="37" t="str">
        <x:v>MysticismJumpSpells.esp</x:v>
      </x:c>
      <x:c r="D11" s="37" t="str">
        <x:v>strong_implementation_corroboration</x:v>
      </x:c>
      <x:c r="E11" s="37" t="str">
        <x:v>14</x:v>
      </x:c>
      <x:c r="F11" s="37" t="str">
        <x:v>5</x:v>
      </x:c>
      <x:c r="G11" s="37" t="str">
        <x:v>1</x:v>
      </x:c>
      <x:c r="H11" s="37" t="str">
        <x:v>8</x:v>
      </x:c>
      <x:c r="I11" s="37" t="str">
        <x:v>0</x:v>
      </x:c>
      <x:c r="J11" s="37" t="str">
        <x:v>0</x:v>
      </x:c>
      <x:c r="K11" s="37" t="str">
        <x:v>0</x:v>
      </x:c>
      <x:c r="L11" s="38" t="str">
        <x:v>resolved_forms:MysticismJumpSpells.esp:14;exact_imported_baselines:5;external_baselines:1;new_records:8</x:v>
      </x:c>
      <x:c r="M11" s="37" t="str">
        <x:v>29</x:v>
      </x:c>
      <x:c r="N11" s="37" t="str">
        <x:v>18</x:v>
      </x:c>
      <x:c r="O11" s="37" t="str">
        <x:v>47</x:v>
      </x:c>
      <x:c r="P11" s="37" t="str">
        <x:v>low</x:v>
      </x:c>
      <x:c r="Q11" s="37" t="str">
        <x:v>review_required</x:v>
      </x:c>
      <x:c r="R11" s="37" t="str">
        <x:v>False</x:v>
      </x:c>
      <x:c r="S11" s="37" t="str">
        <x:v>Corroboration confirms implementation presence/scope; it does not by itself prove a general design law.</x:v>
      </x:c>
    </x:row>
    <x:row r="12">
      <x:c r="A12" s="37" t="str">
        <x:v>RC-0267</x:v>
      </x:c>
      <x:c r="B12" s="37" t="str">
        <x:v>FOMOD-013</x:v>
      </x:c>
      <x:c r="C12" s="37" t="str">
        <x:v>MysticOrdinator.esp</x:v>
      </x:c>
      <x:c r="D12" s="37" t="str">
        <x:v>strong_implementation_corroboration</x:v>
      </x:c>
      <x:c r="E12" s="37" t="str">
        <x:v>9</x:v>
      </x:c>
      <x:c r="F12" s="37" t="str">
        <x:v>9</x:v>
      </x:c>
      <x:c r="G12" s="37" t="str">
        <x:v>0</x:v>
      </x:c>
      <x:c r="H12" s="37" t="str">
        <x:v>0</x:v>
      </x:c>
      <x:c r="I12" s="37" t="str">
        <x:v>0</x:v>
      </x:c>
      <x:c r="J12" s="37" t="str">
        <x:v>0</x:v>
      </x:c>
      <x:c r="K12" s="37" t="str">
        <x:v>0</x:v>
      </x:c>
      <x:c r="L12" s="38" t="str">
        <x:v>resolved_forms:MysticOrdinator.esp:9;exact_imported_baselines:9</x:v>
      </x:c>
      <x:c r="M12" s="37" t="str">
        <x:v>15</x:v>
      </x:c>
      <x:c r="N12" s="37" t="str">
        <x:v>18</x:v>
      </x:c>
      <x:c r="O12" s="37" t="str">
        <x:v>33</x:v>
      </x:c>
      <x:c r="P12" s="37" t="str">
        <x:v>low</x:v>
      </x:c>
      <x:c r="Q12" s="37" t="str">
        <x:v>review_required</x:v>
      </x:c>
      <x:c r="R12" s="37" t="str">
        <x:v>False</x:v>
      </x:c>
      <x:c r="S12" s="37" t="str">
        <x:v>Corroboration confirms implementation presence/scope; it does not by itself prove a general design law.</x:v>
      </x:c>
    </x:row>
    <x:row r="13">
      <x:c r="A13" s="37" t="str">
        <x:v>RC-0268</x:v>
      </x:c>
      <x:c r="B13" s="37" t="str">
        <x:v>FOMOD-015</x:v>
      </x:c>
      <x:c r="C13" s="37" t="str">
        <x:v>AdamantBlade.esp</x:v>
      </x:c>
      <x:c r="D13" s="37" t="str">
        <x:v>strong_implementation_corroboration</x:v>
      </x:c>
      <x:c r="E13" s="37" t="str">
        <x:v>33</x:v>
      </x:c>
      <x:c r="F13" s="37" t="str">
        <x:v>30</x:v>
      </x:c>
      <x:c r="G13" s="37" t="str">
        <x:v>0</x:v>
      </x:c>
      <x:c r="H13" s="37" t="str">
        <x:v>3</x:v>
      </x:c>
      <x:c r="I13" s="37" t="str">
        <x:v>3</x:v>
      </x:c>
      <x:c r="J13" s="37" t="str">
        <x:v>0</x:v>
      </x:c>
      <x:c r="K13" s="37" t="str">
        <x:v>0</x:v>
      </x:c>
      <x:c r="L13" s="38" t="str">
        <x:v>resolved_forms:AdamantBlade.esp:33;exact_imported_baselines:30;new_records:3;perk_tree_deltas:3</x:v>
      </x:c>
      <x:c r="M13" s="37" t="str">
        <x:v>29</x:v>
      </x:c>
      <x:c r="N13" s="37" t="str">
        <x:v>18</x:v>
      </x:c>
      <x:c r="O13" s="37" t="str">
        <x:v>47</x:v>
      </x:c>
      <x:c r="P13" s="37" t="str">
        <x:v>low</x:v>
      </x:c>
      <x:c r="Q13" s="37" t="str">
        <x:v>review_required</x:v>
      </x:c>
      <x:c r="R13" s="37" t="str">
        <x:v>False</x:v>
      </x:c>
      <x:c r="S13" s="37" t="str">
        <x:v>Corroboration confirms implementation presence/scope; it does not by itself prove a general design law.</x:v>
      </x:c>
    </x:row>
    <x:row r="14">
      <x:c r="A14" s="37" t="str">
        <x:v>RC-0269</x:v>
      </x:c>
      <x:c r="B14" s="37" t="str">
        <x:v>FOMOD-016</x:v>
      </x:c>
      <x:c r="C14" s="37" t="str"/>
      <x:c r="D14" s="37" t="str">
        <x:v>implementation_present_baseline_limited</x:v>
      </x:c>
      <x:c r="E14" s="37" t="str">
        <x:v>0</x:v>
      </x:c>
      <x:c r="F14" s="37" t="str">
        <x:v>0</x:v>
      </x:c>
      <x:c r="G14" s="37" t="str">
        <x:v>0</x:v>
      </x:c>
      <x:c r="H14" s="37" t="str">
        <x:v>0</x:v>
      </x:c>
      <x:c r="I14" s="37" t="str">
        <x:v>0</x:v>
      </x:c>
      <x:c r="J14" s="37" t="str">
        <x:v>0</x:v>
      </x:c>
      <x:c r="K14" s="37" t="str">
        <x:v>40</x:v>
      </x:c>
      <x:c r="L14" s="38" t="str">
        <x:v>config_entries:40</x:v>
      </x:c>
      <x:c r="M14" s="37" t="str">
        <x:v>37</x:v>
      </x:c>
      <x:c r="N14" s="37" t="str">
        <x:v>10</x:v>
      </x:c>
      <x:c r="O14" s="37" t="str">
        <x:v>47</x:v>
      </x:c>
      <x:c r="P14" s="37" t="str">
        <x:v>low</x:v>
      </x:c>
      <x:c r="Q14" s="37" t="str">
        <x:v>review_required</x:v>
      </x:c>
      <x:c r="R14" s="37" t="str">
        <x:v>False</x:v>
      </x:c>
      <x:c r="S14" s="37" t="str">
        <x:v>Corroboration confirms implementation presence/scope; it does not by itself prove a general design law.</x:v>
      </x:c>
    </x:row>
    <x:row r="15">
      <x:c r="A15" s="37" t="str">
        <x:v>RC-0270</x:v>
      </x:c>
      <x:c r="B15" s="37" t="str">
        <x:v>FOMOD-017</x:v>
      </x:c>
      <x:c r="C15" s="37" t="str">
        <x:v>AdamantCrossbows.esp</x:v>
      </x:c>
      <x:c r="D15" s="37" t="str">
        <x:v>strong_implementation_corroboration</x:v>
      </x:c>
      <x:c r="E15" s="37" t="str">
        <x:v>6</x:v>
      </x:c>
      <x:c r="F15" s="37" t="str">
        <x:v>6</x:v>
      </x:c>
      <x:c r="G15" s="37" t="str">
        <x:v>0</x:v>
      </x:c>
      <x:c r="H15" s="37" t="str">
        <x:v>0</x:v>
      </x:c>
      <x:c r="I15" s="37" t="str">
        <x:v>1</x:v>
      </x:c>
      <x:c r="J15" s="37" t="str">
        <x:v>0</x:v>
      </x:c>
      <x:c r="K15" s="37" t="str">
        <x:v>0</x:v>
      </x:c>
      <x:c r="L15" s="38" t="str">
        <x:v>resolved_forms:AdamantCrossbows.esp:6;exact_imported_baselines:6;perk_tree_deltas:1</x:v>
      </x:c>
      <x:c r="M15" s="37" t="str">
        <x:v>29</x:v>
      </x:c>
      <x:c r="N15" s="37" t="str">
        <x:v>18</x:v>
      </x:c>
      <x:c r="O15" s="37" t="str">
        <x:v>47</x:v>
      </x:c>
      <x:c r="P15" s="37" t="str">
        <x:v>low</x:v>
      </x:c>
      <x:c r="Q15" s="37" t="str">
        <x:v>review_required</x:v>
      </x:c>
      <x:c r="R15" s="37" t="str">
        <x:v>False</x:v>
      </x:c>
      <x:c r="S15" s="37" t="str">
        <x:v>Corroboration confirms implementation presence/scope; it does not by itself prove a general design law.</x:v>
      </x:c>
    </x:row>
    <x:row r="16">
      <x:c r="A16" s="37" t="str">
        <x:v>RC-0271</x:v>
      </x:c>
      <x:c r="B16" s="37" t="str">
        <x:v>FOMOD-018</x:v>
      </x:c>
      <x:c r="C16" s="37" t="str">
        <x:v>AdamantSmithing.esp</x:v>
      </x:c>
      <x:c r="D16" s="37" t="str">
        <x:v>strong_implementation_corroboration</x:v>
      </x:c>
      <x:c r="E16" s="37" t="str">
        <x:v>9</x:v>
      </x:c>
      <x:c r="F16" s="37" t="str">
        <x:v>0</x:v>
      </x:c>
      <x:c r="G16" s="37" t="str">
        <x:v>1</x:v>
      </x:c>
      <x:c r="H16" s="37" t="str">
        <x:v>8</x:v>
      </x:c>
      <x:c r="I16" s="37" t="str">
        <x:v>0</x:v>
      </x:c>
      <x:c r="J16" s="37" t="str">
        <x:v>3</x:v>
      </x:c>
      <x:c r="K16" s="37" t="str">
        <x:v>23</x:v>
      </x:c>
      <x:c r="L16" s="38" t="str">
        <x:v>resolved_forms:AdamantSmithing.esp:9;external_baselines:1;new_records:8;setting_deltas:3;config_entries:23</x:v>
      </x:c>
      <x:c r="M16" s="37" t="str">
        <x:v>29</x:v>
      </x:c>
      <x:c r="N16" s="37" t="str">
        <x:v>18</x:v>
      </x:c>
      <x:c r="O16" s="37" t="str">
        <x:v>47</x:v>
      </x:c>
      <x:c r="P16" s="37" t="str">
        <x:v>low</x:v>
      </x:c>
      <x:c r="Q16" s="37" t="str">
        <x:v>review_required</x:v>
      </x:c>
      <x:c r="R16" s="37" t="str">
        <x:v>False</x:v>
      </x:c>
      <x:c r="S16" s="37" t="str">
        <x:v>Corroboration confirms implementation presence/scope; it does not by itself prove a general design law.</x:v>
      </x:c>
    </x:row>
    <x:row r="17">
      <x:c r="A17" s="37" t="str">
        <x:v>RC-0272</x:v>
      </x:c>
      <x:c r="B17" s="37" t="str">
        <x:v>FOMOD-019</x:v>
      </x:c>
      <x:c r="C17" s="37" t="str">
        <x:v>SimonrimAttackSpeedFix.esp</x:v>
      </x:c>
      <x:c r="D17" s="37" t="str">
        <x:v>strong_implementation_corroboration</x:v>
      </x:c>
      <x:c r="E17" s="37" t="str">
        <x:v>7</x:v>
      </x:c>
      <x:c r="F17" s="37" t="str">
        <x:v>0</x:v>
      </x:c>
      <x:c r="G17" s="37" t="str">
        <x:v>1</x:v>
      </x:c>
      <x:c r="H17" s="37" t="str">
        <x:v>6</x:v>
      </x:c>
      <x:c r="I17" s="37" t="str">
        <x:v>0</x:v>
      </x:c>
      <x:c r="J17" s="37" t="str">
        <x:v>1</x:v>
      </x:c>
      <x:c r="K17" s="37" t="str">
        <x:v>0</x:v>
      </x:c>
      <x:c r="L17" s="38" t="str">
        <x:v>resolved_forms:SimonrimAttackSpeedFix.esp:7;external_baselines:1;new_records:6;setting_deltas:1</x:v>
      </x:c>
      <x:c r="M17" s="37" t="str">
        <x:v>15</x:v>
      </x:c>
      <x:c r="N17" s="37" t="str">
        <x:v>18</x:v>
      </x:c>
      <x:c r="O17" s="37" t="str">
        <x:v>33</x:v>
      </x:c>
      <x:c r="P17" s="37" t="str">
        <x:v>low</x:v>
      </x:c>
      <x:c r="Q17" s="37" t="str">
        <x:v>review_required</x:v>
      </x:c>
      <x:c r="R17" s="37" t="str">
        <x:v>False</x:v>
      </x:c>
      <x:c r="S17" s="37" t="str">
        <x:v>Corroboration confirms implementation presence/scope; it does not by itself prove a general design law.</x:v>
      </x:c>
    </x:row>
    <x:row r="18">
      <x:c r="A18" s="37" t="str">
        <x:v>RC-0273</x:v>
      </x:c>
      <x:c r="B18" s="37" t="str">
        <x:v>FOMOD-020</x:v>
      </x:c>
      <x:c r="C18" s="37" t="str">
        <x:v>SimonrmSaintsSeducersSmithing.esp</x:v>
      </x:c>
      <x:c r="D18" s="37" t="str">
        <x:v>implementation_present_baseline_limited</x:v>
      </x:c>
      <x:c r="E18" s="37" t="str">
        <x:v>3</x:v>
      </x:c>
      <x:c r="F18" s="37" t="str">
        <x:v>0</x:v>
      </x:c>
      <x:c r="G18" s="37" t="str">
        <x:v>3</x:v>
      </x:c>
      <x:c r="H18" s="37" t="str">
        <x:v>0</x:v>
      </x:c>
      <x:c r="I18" s="37" t="str">
        <x:v>0</x:v>
      </x:c>
      <x:c r="J18" s="37" t="str">
        <x:v>0</x:v>
      </x:c>
      <x:c r="K18" s="37" t="str">
        <x:v>0</x:v>
      </x:c>
      <x:c r="L18" s="38" t="str">
        <x:v>resolved_forms:SimonrmSaintsSeducersSmithing.esp:3;external_baselines:3</x:v>
      </x:c>
      <x:c r="M18" s="37" t="str">
        <x:v>15</x:v>
      </x:c>
      <x:c r="N18" s="37" t="str">
        <x:v>10</x:v>
      </x:c>
      <x:c r="O18" s="37" t="str">
        <x:v>25</x:v>
      </x:c>
      <x:c r="P18" s="37" t="str">
        <x:v>low</x:v>
      </x:c>
      <x:c r="Q18" s="37" t="str">
        <x:v>review_required</x:v>
      </x:c>
      <x:c r="R18" s="37" t="str">
        <x:v>False</x:v>
      </x:c>
      <x:c r="S18" s="37" t="str">
        <x:v>Corroboration confirms implementation presence/scope; it does not by itself prove a general design law.</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20" hidden="0" customWidth="1"/>
    <x:col min="2" max="2" width="24" hidden="0" customWidth="1"/>
    <x:col min="3" max="3" width="38" hidden="0" customWidth="1"/>
    <x:col min="4" max="4" width="14" hidden="0" customWidth="1"/>
    <x:col min="5" max="5" width="38" hidden="0" customWidth="1"/>
    <x:col min="6" max="6" width="38" hidden="0" customWidth="1"/>
    <x:col min="7" max="7" width="14" hidden="0" customWidth="1"/>
    <x:col min="8" max="8" width="14" hidden="0" customWidth="1"/>
    <x:col min="9" max="9" width="14" hidden="0" customWidth="1"/>
  </x:cols>
  <x:sheetData>
    <x:row r="1">
      <x:c r="A1" s="36" t="str">
        <x:v>domain</x:v>
      </x:c>
      <x:c r="B1" s="36" t="str">
        <x:v>plugin</x:v>
      </x:c>
      <x:c r="C1" s="36" t="str">
        <x:v>pattern_key</x:v>
      </x:c>
      <x:c r="D1" s="36" t="str">
        <x:v>sample_count</x:v>
      </x:c>
      <x:c r="E1" s="36" t="str">
        <x:v>observed_range</x:v>
      </x:c>
      <x:c r="F1" s="36" t="str">
        <x:v>observed_median</x:v>
      </x:c>
      <x:c r="G1" s="36" t="str">
        <x:v>confidence_basis</x:v>
      </x:c>
      <x:c r="H1" s="36" t="str">
        <x:v>status</x:v>
      </x:c>
      <x:c r="I1" s="36" t="str">
        <x:v>approved_rule</x:v>
      </x:c>
    </x:row>
    <x:row r="2">
      <x:c r="A2" s="37" t="str">
        <x:v>combat_style</x:v>
      </x:c>
      <x:c r="B2" s="37" t="str">
        <x:v>BladeAndBlunt.esp</x:v>
      </x:c>
      <x:c r="C2" s="38" t="str">
        <x:v>Dueling | dominant Magic</x:v>
      </x:c>
      <x:c r="D2" s="37" t="str">
        <x:v>6</x:v>
      </x:c>
      <x:c r="E2" s="38" t="str">
        <x:v>melee=3.0; magic=8.0; ranged=1.0; staff=1.0</x:v>
      </x:c>
      <x:c r="F2" s="38" t="str">
        <x:v>offense=1.0; defense=0.25; strafe=0.20000000298023224</x:v>
      </x:c>
      <x:c r="G2" s="37" t="str">
        <x:v>descriptive_frequency</x:v>
      </x:c>
      <x:c r="H2" s="37" t="str">
        <x:v>observed_pattern</x:v>
      </x:c>
      <x:c r="I2" s="37" t="str">
        <x:v>False</x:v>
      </x:c>
    </x:row>
    <x:row r="3">
      <x:c r="A3" s="37" t="str">
        <x:v>combat_style</x:v>
      </x:c>
      <x:c r="B3" s="37" t="str">
        <x:v>BladeAndBlunt.esp</x:v>
      </x:c>
      <x:c r="C3" s="38" t="str">
        <x:v>Dueling | dominant Melee</x:v>
      </x:c>
      <x:c r="D3" s="37" t="str">
        <x:v>17</x:v>
      </x:c>
      <x:c r="E3" s="38" t="str">
        <x:v>melee=5.449999809265137; magic=1.0; ranged=1.0; staff=1.0</x:v>
      </x:c>
      <x:c r="F3" s="38" t="str">
        <x:v>offense=0.6499999761581421; defense=0.3499999940395355; strafe=0.20000000298023224</x:v>
      </x:c>
      <x:c r="G3" s="37" t="str">
        <x:v>descriptive_frequency</x:v>
      </x:c>
      <x:c r="H3" s="37" t="str">
        <x:v>observed_pattern</x:v>
      </x:c>
      <x:c r="I3" s="37" t="str">
        <x:v>False</x:v>
      </x:c>
    </x:row>
    <x:row r="4">
      <x:c r="A4" s="37" t="str">
        <x:v>combat_style</x:v>
      </x:c>
      <x:c r="B4" s="37" t="str">
        <x:v>BladeAndBlunt.esp</x:v>
      </x:c>
      <x:c r="C4" s="38" t="str">
        <x:v>Dueling | dominant Melee;Magic;Ranged;Shout;Unarmed;Staff</x:v>
      </x:c>
      <x:c r="D4" s="37" t="str">
        <x:v>7</x:v>
      </x:c>
      <x:c r="E4" s="38" t="str">
        <x:v>melee=1.0; magic=1.0; ranged=1.0; staff=1.0</x:v>
      </x:c>
      <x:c r="F4" s="38" t="str">
        <x:v>offense=1.0; defense=0.0; strafe=0.20000000298023224</x:v>
      </x:c>
      <x:c r="G4" s="37" t="str">
        <x:v>descriptive_frequency</x:v>
      </x:c>
      <x:c r="H4" s="37" t="str">
        <x:v>observed_pattern</x:v>
      </x:c>
      <x:c r="I4" s="37" t="str">
        <x:v>False</x:v>
      </x:c>
    </x:row>
    <x:row r="5">
      <x:c r="A5" s="37" t="str">
        <x:v>combat_style</x:v>
      </x:c>
      <x:c r="B5" s="37" t="str">
        <x:v>BladeAndBlunt.esp</x:v>
      </x:c>
      <x:c r="C5" s="38" t="str">
        <x:v>Dueling | dominant Ranged</x:v>
      </x:c>
      <x:c r="D5" s="37" t="str">
        <x:v>4</x:v>
      </x:c>
      <x:c r="E5" s="38" t="str">
        <x:v>melee=0.9149999916553497; magic=1.0; ranged=8.825000047683716; staff=1.0</x:v>
      </x:c>
      <x:c r="F5" s="38" t="str">
        <x:v>offense=0.9600000083446503; defense=0.24499999731779099; strafe=0.5000000074505806</x:v>
      </x:c>
      <x:c r="G5" s="37" t="str">
        <x:v>descriptive_frequency</x:v>
      </x:c>
      <x:c r="H5" s="37" t="str">
        <x:v>observed_pattern</x:v>
      </x:c>
      <x:c r="I5" s="37" t="str">
        <x:v>False</x:v>
      </x:c>
    </x:row>
    <x:row r="6">
      <x:c r="A6" s="37" t="str">
        <x:v>combat_style</x:v>
      </x:c>
      <x:c r="B6" s="37" t="str">
        <x:v>BladeAndBlunt.esp</x:v>
      </x:c>
      <x:c r="C6" s="38" t="str">
        <x:v>Dueling | dominant Staff</x:v>
      </x:c>
      <x:c r="D6" s="37" t="str">
        <x:v>3</x:v>
      </x:c>
      <x:c r="E6" s="38" t="str">
        <x:v>melee=1.0; magic=5.0; ranged=1.0; staff=10.0</x:v>
      </x:c>
      <x:c r="F6" s="38" t="str">
        <x:v>offense=0.8500000238418579; defense=0.3400000035762787; strafe=0.20000000298023224</x:v>
      </x:c>
      <x:c r="G6" s="37" t="str">
        <x:v>descriptive_frequency</x:v>
      </x:c>
      <x:c r="H6" s="37" t="str">
        <x:v>observed_pattern</x:v>
      </x:c>
      <x:c r="I6" s="37" t="str">
        <x:v>False</x:v>
      </x:c>
    </x:row>
    <x:row r="7">
      <x:c r="A7" s="37" t="str">
        <x:v>combat_style</x:v>
      </x:c>
      <x:c r="B7" s="37" t="str">
        <x:v>BladeAndBlunt.esp</x:v>
      </x:c>
      <x:c r="C7" s="38" t="str">
        <x:v>Dueling;AllowDualWielding | dominant Melee</x:v>
      </x:c>
      <x:c r="D7" s="37" t="str">
        <x:v>16</x:v>
      </x:c>
      <x:c r="E7" s="38" t="str">
        <x:v>melee=10.0; magic=1.0; ranged=1.0; staff=1.0</x:v>
      </x:c>
      <x:c r="F7" s="38" t="str">
        <x:v>offense=1.0; defense=0.0; strafe=0.20000000298023224</x:v>
      </x:c>
      <x:c r="G7" s="37" t="str">
        <x:v>descriptive_frequency</x:v>
      </x:c>
      <x:c r="H7" s="37" t="str">
        <x:v>observed_pattern</x:v>
      </x:c>
      <x:c r="I7" s="37" t="str">
        <x:v>False</x:v>
      </x:c>
    </x:row>
    <x:row r="8">
      <x:c r="A8" s="37" t="str">
        <x:v>combat_style</x:v>
      </x:c>
      <x:c r="B8" s="37" t="str">
        <x:v>BladeAndBlunt.esp</x:v>
      </x:c>
      <x:c r="C8" s="38" t="str">
        <x:v>Flanking | dominant Ranged</x:v>
      </x:c>
      <x:c r="D8" s="37" t="str">
        <x:v>4</x:v>
      </x:c>
      <x:c r="E8" s="38" t="str">
        <x:v>melee=0.8299999833106995; magic=1.0; ranged=7.650000095367432; staff=1.0</x:v>
      </x:c>
      <x:c r="F8" s="38" t="str">
        <x:v>offense=0.8600000143051147; defense=0.26499999314546585; strafe=0.800000011920929</x:v>
      </x:c>
      <x:c r="G8" s="37" t="str">
        <x:v>descriptive_frequency</x:v>
      </x:c>
      <x:c r="H8" s="37" t="str">
        <x:v>observed_pattern</x:v>
      </x:c>
      <x:c r="I8" s="37" t="str">
        <x:v>False</x:v>
      </x:c>
    </x:row>
    <x:row r="9">
      <x:c r="A9" s="37" t="str">
        <x:v>enchantment_numeric</x:v>
      </x:c>
      <x:c r="B9" s="37" t="str">
        <x:v>Adamant.esp</x:v>
      </x:c>
      <x:c r="C9" s="38" t="str">
        <x:v>Enchantment | Fire and Forget | Touch | Conjuration;None</x:v>
      </x:c>
      <x:c r="D9" s="37" t="str">
        <x:v>8</x:v>
      </x:c>
      <x:c r="E9" s="38" t="str">
        <x:v>cost 0.0..0.0; amount 0.0..0.0</x:v>
      </x:c>
      <x:c r="F9" s="38" t="str">
        <x:v>cost=0.0; amount=0.0; effects=9.0</x:v>
      </x:c>
      <x:c r="G9" s="37" t="str">
        <x:v>descriptive_frequency</x:v>
      </x:c>
      <x:c r="H9" s="37" t="str">
        <x:v>observed_pattern</x:v>
      </x:c>
      <x:c r="I9" s="37" t="str">
        <x:v>False</x:v>
      </x:c>
    </x:row>
    <x:row r="10">
      <x:c r="A10" s="37" t="str">
        <x:v>enchantment_numeric</x:v>
      </x:c>
      <x:c r="B10" s="37" t="str">
        <x:v>Adamant.esp</x:v>
      </x:c>
      <x:c r="C10" s="38" t="str">
        <x:v>Enchantment | Fire and Forget | Touch | Destruction;None</x:v>
      </x:c>
      <x:c r="D10" s="37" t="str">
        <x:v>4</x:v>
      </x:c>
      <x:c r="E10" s="38" t="str">
        <x:v>cost 231.0..826.0; amount 231.0..826.0</x:v>
      </x:c>
      <x:c r="F10" s="38" t="str">
        <x:v>cost=448.5; amount=448.5; effects=3.0</x:v>
      </x:c>
      <x:c r="G10" s="37" t="str">
        <x:v>descriptive_frequency</x:v>
      </x:c>
      <x:c r="H10" s="37" t="str">
        <x:v>observed_pattern</x:v>
      </x:c>
      <x:c r="I10" s="37" t="str">
        <x:v>False</x:v>
      </x:c>
    </x:row>
    <x:row r="11">
      <x:c r="A11" s="37" t="str">
        <x:v>enchantment_numeric</x:v>
      </x:c>
      <x:c r="B11" s="37" t="str">
        <x:v>Adamant.esp</x:v>
      </x:c>
      <x:c r="C11" s="38" t="str">
        <x:v>Enchantment | Fire and Forget | Touch | None</x:v>
      </x:c>
      <x:c r="D11" s="37" t="str">
        <x:v>3</x:v>
      </x:c>
      <x:c r="E11" s="38" t="str">
        <x:v>cost 535.0..1274.0; amount 535.0..1274.0</x:v>
      </x:c>
      <x:c r="F11" s="38" t="str">
        <x:v>cost=688.0; amount=688.0; effects=2.0</x:v>
      </x:c>
      <x:c r="G11" s="37" t="str">
        <x:v>descriptive_frequency</x:v>
      </x:c>
      <x:c r="H11" s="37" t="str">
        <x:v>observed_pattern</x:v>
      </x:c>
      <x:c r="I11" s="37" t="str">
        <x:v>False</x:v>
      </x:c>
    </x:row>
    <x:row r="12">
      <x:c r="A12" s="37" t="str">
        <x:v>enchantment_numeric</x:v>
      </x:c>
      <x:c r="B12" s="37" t="str">
        <x:v>Adamant.esp</x:v>
      </x:c>
      <x:c r="C12" s="38" t="str">
        <x:v>Enchantment | Fire and Forget | Touch | Restoration</x:v>
      </x:c>
      <x:c r="D12" s="37" t="str">
        <x:v>8</x:v>
      </x:c>
      <x:c r="E12" s="38" t="str">
        <x:v>cost 0.0..0.0; amount 0.0..0.0</x:v>
      </x:c>
      <x:c r="F12" s="38" t="str">
        <x:v>cost=0.0; amount=0.0; effects=4.5</x:v>
      </x:c>
      <x:c r="G12" s="37" t="str">
        <x:v>descriptive_frequency</x:v>
      </x:c>
      <x:c r="H12" s="37" t="str">
        <x:v>observed_pattern</x:v>
      </x:c>
      <x:c r="I12" s="37" t="str">
        <x:v>False</x:v>
      </x:c>
    </x:row>
    <x:row r="13">
      <x:c r="A13" s="37" t="str">
        <x:v>enchantment_numeric</x:v>
      </x:c>
      <x:c r="B13" s="37" t="str">
        <x:v>Adamant.esp</x:v>
      </x:c>
      <x:c r="C13" s="38" t="str">
        <x:v>Staff Enchantment | Concentration | Aimed | Destruction;None</x:v>
      </x:c>
      <x:c r="D13" s="37" t="str">
        <x:v>9</x:v>
      </x:c>
      <x:c r="E13" s="38" t="str">
        <x:v>cost 20.0..250.0; amount 20.0..250.0</x:v>
      </x:c>
      <x:c r="F13" s="38" t="str">
        <x:v>cost=60.0; amount=60.0; effects=4.0</x:v>
      </x:c>
      <x:c r="G13" s="37" t="str">
        <x:v>descriptive_frequency</x:v>
      </x:c>
      <x:c r="H13" s="37" t="str">
        <x:v>observed_pattern</x:v>
      </x:c>
      <x:c r="I13" s="37" t="str">
        <x:v>False</x:v>
      </x:c>
    </x:row>
    <x:row r="14">
      <x:c r="A14" s="37" t="str">
        <x:v>enchantment_numeric</x:v>
      </x:c>
      <x:c r="B14" s="37" t="str">
        <x:v>Adamant.esp</x:v>
      </x:c>
      <x:c r="C14" s="38" t="str">
        <x:v>Staff Enchantment | Concentration | Aimed | None;Restoration</x:v>
      </x:c>
      <x:c r="D14" s="37" t="str">
        <x:v>6</x:v>
      </x:c>
      <x:c r="E14" s="38" t="str">
        <x:v>cost 20.0..250.0; amount 20.0..250.0</x:v>
      </x:c>
      <x:c r="F14" s="38" t="str">
        <x:v>cost=60.0; amount=60.0; effects=6.0</x:v>
      </x:c>
      <x:c r="G14" s="37" t="str">
        <x:v>descriptive_frequency</x:v>
      </x:c>
      <x:c r="H14" s="37" t="str">
        <x:v>observed_pattern</x:v>
      </x:c>
      <x:c r="I14" s="37" t="str">
        <x:v>False</x:v>
      </x:c>
    </x:row>
    <x:row r="15">
      <x:c r="A15" s="37" t="str">
        <x:v>enchantment_numeric</x:v>
      </x:c>
      <x:c r="B15" s="37" t="str">
        <x:v>Adamant.esp</x:v>
      </x:c>
      <x:c r="C15" s="38" t="str">
        <x:v>Staff Enchantment | Fire and Forget | Aimed | Conjuration;None</x:v>
      </x:c>
      <x:c r="D15" s="37" t="str">
        <x:v>5</x:v>
      </x:c>
      <x:c r="E15" s="38" t="str">
        <x:v>cost 20.0..250.0; amount 20.0..250.0</x:v>
      </x:c>
      <x:c r="F15" s="38" t="str">
        <x:v>cost=60.0; amount=60.0; effects=4.0</x:v>
      </x:c>
      <x:c r="G15" s="37" t="str">
        <x:v>descriptive_frequency</x:v>
      </x:c>
      <x:c r="H15" s="37" t="str">
        <x:v>observed_pattern</x:v>
      </x:c>
      <x:c r="I15" s="37" t="str">
        <x:v>False</x:v>
      </x:c>
    </x:row>
    <x:row r="16">
      <x:c r="A16" s="37" t="str">
        <x:v>enchantment_numeric</x:v>
      </x:c>
      <x:c r="B16" s="37" t="str">
        <x:v>Adamant.esp</x:v>
      </x:c>
      <x:c r="C16" s="38" t="str">
        <x:v>Staff Enchantment | Fire and Forget | Aimed | None;Restoration</x:v>
      </x:c>
      <x:c r="D16" s="37" t="str">
        <x:v>12</x:v>
      </x:c>
      <x:c r="E16" s="38" t="str">
        <x:v>cost 20.0..250.0; amount 20.0..250.0</x:v>
      </x:c>
      <x:c r="F16" s="38" t="str">
        <x:v>cost=60.0; amount=60.0; effects=4.0</x:v>
      </x:c>
      <x:c r="G16" s="37" t="str">
        <x:v>descriptive_frequency</x:v>
      </x:c>
      <x:c r="H16" s="37" t="str">
        <x:v>observed_pattern</x:v>
      </x:c>
      <x:c r="I16" s="37" t="str">
        <x:v>False</x:v>
      </x:c>
    </x:row>
    <x:row r="17">
      <x:c r="A17" s="37" t="str">
        <x:v>enchantment_numeric</x:v>
      </x:c>
      <x:c r="B17" s="37" t="str">
        <x:v>Adamant.esp</x:v>
      </x:c>
      <x:c r="C17" s="38" t="str">
        <x:v>Staff Enchantment | Fire and Forget | Target Location | Conjuration;None</x:v>
      </x:c>
      <x:c r="D17" s="37" t="str">
        <x:v>6</x:v>
      </x:c>
      <x:c r="E17" s="38" t="str">
        <x:v>cost 30.0..250.0; amount 30.0..250.0</x:v>
      </x:c>
      <x:c r="F17" s="38" t="str">
        <x:v>cost=185.0; amount=185.0; effects=2.0</x:v>
      </x:c>
      <x:c r="G17" s="37" t="str">
        <x:v>descriptive_frequency</x:v>
      </x:c>
      <x:c r="H17" s="37" t="str">
        <x:v>observed_pattern</x:v>
      </x:c>
      <x:c r="I17" s="37" t="str">
        <x:v>False</x:v>
      </x:c>
    </x:row>
    <x:row r="18">
      <x:c r="A18" s="37" t="str">
        <x:v>enchantment_numeric</x:v>
      </x:c>
      <x:c r="B18" s="37" t="str">
        <x:v>MysticismMagic.esp</x:v>
      </x:c>
      <x:c r="C18" s="38" t="str">
        <x:v>Enchantment | Fire and Forget | Touch | Alteration</x:v>
      </x:c>
      <x:c r="D18" s="37" t="str">
        <x:v>5</x:v>
      </x:c>
      <x:c r="E18" s="38" t="str">
        <x:v>cost 0.0..464.0; amount 0.0..464.0</x:v>
      </x:c>
      <x:c r="F18" s="38" t="str">
        <x:v>cost=0.0; amount=0.0; effects=1.0</x:v>
      </x:c>
      <x:c r="G18" s="37" t="str">
        <x:v>descriptive_frequency</x:v>
      </x:c>
      <x:c r="H18" s="37" t="str">
        <x:v>observed_pattern</x:v>
      </x:c>
      <x:c r="I18" s="37" t="str">
        <x:v>False</x:v>
      </x:c>
    </x:row>
    <x:row r="19">
      <x:c r="A19" s="37" t="str">
        <x:v>enchantment_numeric</x:v>
      </x:c>
      <x:c r="B19" s="37" t="str">
        <x:v>MysticismMagic.esp</x:v>
      </x:c>
      <x:c r="C19" s="38" t="str">
        <x:v>Enchantment | Fire and Forget | Touch | Conjuration;None</x:v>
      </x:c>
      <x:c r="D19" s="37" t="str">
        <x:v>7</x:v>
      </x:c>
      <x:c r="E19" s="38" t="str">
        <x:v>cost 0.0..0.0; amount 0.0..0.0</x:v>
      </x:c>
      <x:c r="F19" s="38" t="str">
        <x:v>cost=0.0; amount=0.0; effects=4.0</x:v>
      </x:c>
      <x:c r="G19" s="37" t="str">
        <x:v>descriptive_frequency</x:v>
      </x:c>
      <x:c r="H19" s="37" t="str">
        <x:v>observed_pattern</x:v>
      </x:c>
      <x:c r="I19" s="37" t="str">
        <x:v>False</x:v>
      </x:c>
    </x:row>
    <x:row r="20">
      <x:c r="A20" s="37" t="str">
        <x:v>enchantment_numeric</x:v>
      </x:c>
      <x:c r="B20" s="37" t="str">
        <x:v>MysticismMagic.esp</x:v>
      </x:c>
      <x:c r="C20" s="38" t="str">
        <x:v>Enchantment | Fire and Forget | Touch | Destruction</x:v>
      </x:c>
      <x:c r="D20" s="37" t="str">
        <x:v>6</x:v>
      </x:c>
      <x:c r="E20" s="38" t="str">
        <x:v>cost 347.0..1986.0; amount 347.0..1986.0</x:v>
      </x:c>
      <x:c r="F20" s="38" t="str">
        <x:v>cost=775.0; amount=775.0; effects=2.0</x:v>
      </x:c>
      <x:c r="G20" s="37" t="str">
        <x:v>descriptive_frequency</x:v>
      </x:c>
      <x:c r="H20" s="37" t="str">
        <x:v>observed_pattern</x:v>
      </x:c>
      <x:c r="I20" s="37" t="str">
        <x:v>False</x:v>
      </x:c>
    </x:row>
    <x:row r="21">
      <x:c r="A21" s="37" t="str">
        <x:v>enchantment_numeric</x:v>
      </x:c>
      <x:c r="B21" s="37" t="str">
        <x:v>MysticismMagic.esp</x:v>
      </x:c>
      <x:c r="C21" s="38" t="str">
        <x:v>Enchantment | Fire and Forget | Touch | Destruction;None</x:v>
      </x:c>
      <x:c r="D21" s="37" t="str">
        <x:v>4</x:v>
      </x:c>
      <x:c r="E21" s="38" t="str">
        <x:v>cost 231.0..1019.0; amount 231.0..1019.0</x:v>
      </x:c>
      <x:c r="F21" s="38" t="str">
        <x:v>cost=489.0; amount=489.0; effects=2.0</x:v>
      </x:c>
      <x:c r="G21" s="37" t="str">
        <x:v>descriptive_frequency</x:v>
      </x:c>
      <x:c r="H21" s="37" t="str">
        <x:v>observed_pattern</x:v>
      </x:c>
      <x:c r="I21" s="37" t="str">
        <x:v>False</x:v>
      </x:c>
    </x:row>
    <x:row r="22">
      <x:c r="A22" s="37" t="str">
        <x:v>enchantment_numeric</x:v>
      </x:c>
      <x:c r="B22" s="37" t="str">
        <x:v>MysticismMagic.esp</x:v>
      </x:c>
      <x:c r="C22" s="38" t="str">
        <x:v>Enchantment | Fire and Forget | Touch | Illusion</x:v>
      </x:c>
      <x:c r="D22" s="37" t="str">
        <x:v>14</x:v>
      </x:c>
      <x:c r="E22" s="38" t="str">
        <x:v>cost 0.0..1274.0; amount 0.0..1274.0</x:v>
      </x:c>
      <x:c r="F22" s="38" t="str">
        <x:v>cost=0.0; amount=0.0; effects=2.0</x:v>
      </x:c>
      <x:c r="G22" s="37" t="str">
        <x:v>descriptive_frequency</x:v>
      </x:c>
      <x:c r="H22" s="37" t="str">
        <x:v>observed_pattern</x:v>
      </x:c>
      <x:c r="I22" s="37" t="str">
        <x:v>False</x:v>
      </x:c>
    </x:row>
    <x:row r="23">
      <x:c r="A23" s="37" t="str">
        <x:v>enchantment_numeric</x:v>
      </x:c>
      <x:c r="B23" s="37" t="str">
        <x:v>MysticismMagic.esp</x:v>
      </x:c>
      <x:c r="C23" s="38" t="str">
        <x:v>Enchantment | Fire and Forget | Touch | Restoration</x:v>
      </x:c>
      <x:c r="D23" s="37" t="str">
        <x:v>6</x:v>
      </x:c>
      <x:c r="E23" s="38" t="str">
        <x:v>cost 0.0..530.0; amount 0.0..530.0</x:v>
      </x:c>
      <x:c r="F23" s="38" t="str">
        <x:v>cost=0.0; amount=0.0; effects=1.0</x:v>
      </x:c>
      <x:c r="G23" s="37" t="str">
        <x:v>descriptive_frequency</x:v>
      </x:c>
      <x:c r="H23" s="37" t="str">
        <x:v>observed_pattern</x:v>
      </x:c>
      <x:c r="I23" s="37" t="str">
        <x:v>False</x:v>
      </x:c>
    </x:row>
    <x:row r="24">
      <x:c r="A24" s="37" t="str">
        <x:v>enchantment_numeric</x:v>
      </x:c>
      <x:c r="B24" s="37" t="str">
        <x:v>MysticismMagic.esp</x:v>
      </x:c>
      <x:c r="C24" s="38" t="str">
        <x:v>Staff Enchantment | Concentration | Aimed | Destruction;None</x:v>
      </x:c>
      <x:c r="D24" s="37" t="str">
        <x:v>18</x:v>
      </x:c>
      <x:c r="E24" s="38" t="str">
        <x:v>cost 20.0..250.0; amount 20.0..250.0</x:v>
      </x:c>
      <x:c r="F24" s="38" t="str">
        <x:v>cost=90.0; amount=90.0; effects=4.0</x:v>
      </x:c>
      <x:c r="G24" s="37" t="str">
        <x:v>descriptive_frequency</x:v>
      </x:c>
      <x:c r="H24" s="37" t="str">
        <x:v>observed_pattern</x:v>
      </x:c>
      <x:c r="I24" s="37" t="str">
        <x:v>False</x:v>
      </x:c>
    </x:row>
    <x:row r="25">
      <x:c r="A25" s="37" t="str">
        <x:v>enchantment_numeric</x:v>
      </x:c>
      <x:c r="B25" s="37" t="str">
        <x:v>MysticismMagic.esp</x:v>
      </x:c>
      <x:c r="C25" s="38" t="str">
        <x:v>Staff Enchantment | Concentration | Aimed | None;Restoration</x:v>
      </x:c>
      <x:c r="D25" s="37" t="str">
        <x:v>8</x:v>
      </x:c>
      <x:c r="E25" s="38" t="str">
        <x:v>cost 20.0..250.0; amount 20.0..250.0</x:v>
      </x:c>
      <x:c r="F25" s="38" t="str">
        <x:v>cost=90.0; amount=90.0; effects=2.0</x:v>
      </x:c>
      <x:c r="G25" s="37" t="str">
        <x:v>descriptive_frequency</x:v>
      </x:c>
      <x:c r="H25" s="37" t="str">
        <x:v>observed_pattern</x:v>
      </x:c>
      <x:c r="I25" s="37" t="str">
        <x:v>False</x:v>
      </x:c>
    </x:row>
    <x:row r="26">
      <x:c r="A26" s="37" t="str">
        <x:v>enchantment_numeric</x:v>
      </x:c>
      <x:c r="B26" s="37" t="str">
        <x:v>MysticismMagic.esp</x:v>
      </x:c>
      <x:c r="C26" s="38" t="str">
        <x:v>Staff Enchantment | Fire and Forget | Aimed | Alteration;None</x:v>
      </x:c>
      <x:c r="D26" s="37" t="str">
        <x:v>20</x:v>
      </x:c>
      <x:c r="E26" s="38" t="str">
        <x:v>cost 30.0..250.0; amount 30.0..250.0</x:v>
      </x:c>
      <x:c r="F26" s="38" t="str">
        <x:v>cost=90.0; amount=90.0; effects=2.0</x:v>
      </x:c>
      <x:c r="G26" s="37" t="str">
        <x:v>descriptive_frequency</x:v>
      </x:c>
      <x:c r="H26" s="37" t="str">
        <x:v>observed_pattern</x:v>
      </x:c>
      <x:c r="I26" s="37" t="str">
        <x:v>False</x:v>
      </x:c>
    </x:row>
    <x:row r="27">
      <x:c r="A27" s="37" t="str">
        <x:v>enchantment_numeric</x:v>
      </x:c>
      <x:c r="B27" s="37" t="str">
        <x:v>MysticismMagic.esp</x:v>
      </x:c>
      <x:c r="C27" s="38" t="str">
        <x:v>Staff Enchantment | Fire and Forget | Aimed | Conjuration;None</x:v>
      </x:c>
      <x:c r="D27" s="37" t="str">
        <x:v>5</x:v>
      </x:c>
      <x:c r="E27" s="38" t="str">
        <x:v>cost 20.0..250.0; amount 20.0..250.0</x:v>
      </x:c>
      <x:c r="F27" s="38" t="str">
        <x:v>cost=60.0; amount=60.0; effects=3.0</x:v>
      </x:c>
      <x:c r="G27" s="37" t="str">
        <x:v>descriptive_frequency</x:v>
      </x:c>
      <x:c r="H27" s="37" t="str">
        <x:v>observed_pattern</x:v>
      </x:c>
      <x:c r="I27" s="37" t="str">
        <x:v>False</x:v>
      </x:c>
    </x:row>
    <x:row r="28">
      <x:c r="A28" s="37" t="str">
        <x:v>enchantment_numeric</x:v>
      </x:c>
      <x:c r="B28" s="37" t="str">
        <x:v>MysticismMagic.esp</x:v>
      </x:c>
      <x:c r="C28" s="38" t="str">
        <x:v>Staff Enchantment | Fire and Forget | Aimed | Destruction;None</x:v>
      </x:c>
      <x:c r="D28" s="37" t="str">
        <x:v>15</x:v>
      </x:c>
      <x:c r="E28" s="38" t="str">
        <x:v>cost 30.0..250.0; amount 30.0..250.0</x:v>
      </x:c>
      <x:c r="F28" s="38" t="str">
        <x:v>cost=120.0; amount=120.0; effects=3.0</x:v>
      </x:c>
      <x:c r="G28" s="37" t="str">
        <x:v>descriptive_frequency</x:v>
      </x:c>
      <x:c r="H28" s="37" t="str">
        <x:v>observed_pattern</x:v>
      </x:c>
      <x:c r="I28" s="37" t="str">
        <x:v>False</x:v>
      </x:c>
    </x:row>
    <x:row r="29">
      <x:c r="A29" s="37" t="str">
        <x:v>enchantment_numeric</x:v>
      </x:c>
      <x:c r="B29" s="37" t="str">
        <x:v>MysticismMagic.esp</x:v>
      </x:c>
      <x:c r="C29" s="38" t="str">
        <x:v>Staff Enchantment | Fire and Forget | Aimed | Illusion;None</x:v>
      </x:c>
      <x:c r="D29" s="37" t="str">
        <x:v>18</x:v>
      </x:c>
      <x:c r="E29" s="38" t="str">
        <x:v>cost 20.0..120.0; amount 20.0..120.0</x:v>
      </x:c>
      <x:c r="F29" s="38" t="str">
        <x:v>cost=60.0; amount=60.0; effects=4.0</x:v>
      </x:c>
      <x:c r="G29" s="37" t="str">
        <x:v>descriptive_frequency</x:v>
      </x:c>
      <x:c r="H29" s="37" t="str">
        <x:v>observed_pattern</x:v>
      </x:c>
      <x:c r="I29" s="37" t="str">
        <x:v>False</x:v>
      </x:c>
    </x:row>
    <x:row r="30">
      <x:c r="A30" s="37" t="str">
        <x:v>enchantment_numeric</x:v>
      </x:c>
      <x:c r="B30" s="37" t="str">
        <x:v>MysticismMagic.esp</x:v>
      </x:c>
      <x:c r="C30" s="38" t="str">
        <x:v>Staff Enchantment | Fire and Forget | Aimed | None;Restoration</x:v>
      </x:c>
      <x:c r="D30" s="37" t="str">
        <x:v>12</x:v>
      </x:c>
      <x:c r="E30" s="38" t="str">
        <x:v>cost 20.0..250.0; amount 20.0..250.0</x:v>
      </x:c>
      <x:c r="F30" s="38" t="str">
        <x:v>cost=60.0; amount=60.0; effects=2.0</x:v>
      </x:c>
      <x:c r="G30" s="37" t="str">
        <x:v>descriptive_frequency</x:v>
      </x:c>
      <x:c r="H30" s="37" t="str">
        <x:v>observed_pattern</x:v>
      </x:c>
      <x:c r="I30" s="37" t="str">
        <x:v>False</x:v>
      </x:c>
    </x:row>
    <x:row r="31">
      <x:c r="A31" s="37" t="str">
        <x:v>enchantment_numeric</x:v>
      </x:c>
      <x:c r="B31" s="37" t="str">
        <x:v>MysticismMagic.esp</x:v>
      </x:c>
      <x:c r="C31" s="38" t="str">
        <x:v>Staff Enchantment | Fire and Forget | Target Actor | Conjuration;None</x:v>
      </x:c>
      <x:c r="D31" s="37" t="str">
        <x:v>3</x:v>
      </x:c>
      <x:c r="E31" s="38" t="str">
        <x:v>cost 20.0..250.0; amount 20.0..250.0</x:v>
      </x:c>
      <x:c r="F31" s="38" t="str">
        <x:v>cost=60.0; amount=60.0; effects=4.0</x:v>
      </x:c>
      <x:c r="G31" s="37" t="str">
        <x:v>descriptive_frequency</x:v>
      </x:c>
      <x:c r="H31" s="37" t="str">
        <x:v>observed_pattern</x:v>
      </x:c>
      <x:c r="I31" s="37" t="str">
        <x:v>False</x:v>
      </x:c>
    </x:row>
    <x:row r="32">
      <x:c r="A32" s="37" t="str">
        <x:v>enchantment_numeric</x:v>
      </x:c>
      <x:c r="B32" s="37" t="str">
        <x:v>MysticismMagic.esp</x:v>
      </x:c>
      <x:c r="C32" s="38" t="str">
        <x:v>Staff Enchantment | Fire and Forget | Target Location | Conjuration;None</x:v>
      </x:c>
      <x:c r="D32" s="37" t="str">
        <x:v>39</x:v>
      </x:c>
      <x:c r="E32" s="38" t="str">
        <x:v>cost 20.0..250.0; amount 20.0..250.0</x:v>
      </x:c>
      <x:c r="F32" s="38" t="str">
        <x:v>cost=120.0; amount=120.0; effects=2.0</x:v>
      </x:c>
      <x:c r="G32" s="37" t="str">
        <x:v>descriptive_frequency</x:v>
      </x:c>
      <x:c r="H32" s="37" t="str">
        <x:v>observed_pattern</x:v>
      </x:c>
      <x:c r="I32" s="37" t="str">
        <x:v>False</x:v>
      </x:c>
    </x:row>
    <x:row r="33">
      <x:c r="A33" s="37" t="str">
        <x:v>enchantment_numeric</x:v>
      </x:c>
      <x:c r="B33" s="37" t="str">
        <x:v>MysticismMagic.esp</x:v>
      </x:c>
      <x:c r="C33" s="38" t="str">
        <x:v>Staff Enchantment | Fire and Forget | Target Location | Destruction;None</x:v>
      </x:c>
      <x:c r="D33" s="37" t="str">
        <x:v>7</x:v>
      </x:c>
      <x:c r="E33" s="38" t="str">
        <x:v>cost 30.0..120.0; amount 30.0..120.0</x:v>
      </x:c>
      <x:c r="F33" s="38" t="str">
        <x:v>cost=120.0; amount=120.0; effects=2.0</x:v>
      </x:c>
      <x:c r="G33" s="37" t="str">
        <x:v>descriptive_frequency</x:v>
      </x:c>
      <x:c r="H33" s="37" t="str">
        <x:v>observed_pattern</x:v>
      </x:c>
      <x:c r="I33" s="37" t="str">
        <x:v>False</x:v>
      </x:c>
    </x:row>
    <x:row r="34">
      <x:c r="A34" s="37" t="str">
        <x:v>enchantment_numeric</x:v>
      </x:c>
      <x:c r="B34" s="37" t="str">
        <x:v>MysticismMagic.esp</x:v>
      </x:c>
      <x:c r="C34" s="38" t="str">
        <x:v>Staff Enchantment | Fire and Forget | Target Location | Illusion;None</x:v>
      </x:c>
      <x:c r="D34" s="37" t="str">
        <x:v>6</x:v>
      </x:c>
      <x:c r="E34" s="38" t="str">
        <x:v>cost 120.0..120.0; amount 120.0..120.0</x:v>
      </x:c>
      <x:c r="F34" s="38" t="str">
        <x:v>cost=120.0; amount=120.0; effects=2.0</x:v>
      </x:c>
      <x:c r="G34" s="37" t="str">
        <x:v>descriptive_frequency</x:v>
      </x:c>
      <x:c r="H34" s="37" t="str">
        <x:v>observed_pattern</x:v>
      </x:c>
      <x:c r="I34" s="37" t="str">
        <x:v>False</x:v>
      </x:c>
    </x:row>
    <x:row r="35">
      <x:c r="A35" s="37" t="str">
        <x:v>enchantment_numeric</x:v>
      </x:c>
      <x:c r="B35" s="37" t="str">
        <x:v>MysticismMagic.esp</x:v>
      </x:c>
      <x:c r="C35" s="38" t="str">
        <x:v>Staff Enchantment | Fire and Forget | Target Location | None;Restoration</x:v>
      </x:c>
      <x:c r="D35" s="37" t="str">
        <x:v>4</x:v>
      </x:c>
      <x:c r="E35" s="38" t="str">
        <x:v>cost 30.0..120.0; amount 30.0..120.0</x:v>
      </x:c>
      <x:c r="F35" s="38" t="str">
        <x:v>cost=75.0; amount=75.0; effects=2.0</x:v>
      </x:c>
      <x:c r="G35" s="37" t="str">
        <x:v>descriptive_frequency</x:v>
      </x:c>
      <x:c r="H35" s="37" t="str">
        <x:v>observed_pattern</x:v>
      </x:c>
      <x:c r="I35" s="37" t="str">
        <x:v>False</x:v>
      </x:c>
    </x:row>
    <x:row r="36">
      <x:c r="A36" s="37" t="str">
        <x:v>movement_numeric</x:v>
      </x:c>
      <x:c r="B36" s="37" t="str">
        <x:v>BladeAndBlunt.esp</x:v>
      </x:c>
      <x:c r="C36" s="38" t="str">
        <x:v>Exact MOVT profile MOVT-P01 | NPC_Attacking2H_MT;NPC_Attacking_MT;NPC_PowerAttacking_MT</x:v>
      </x:c>
      <x:c r="D36" s="37" t="str">
        <x:v>3</x:v>
      </x:c>
      <x:c r="E36" s="38" t="str">
        <x:v>forward walk/run 75.0/200.0; back 35.0/105.0; rotate-run-deg 80.000</x:v>
      </x:c>
      <x:c r="F36" s="38" t="str">
        <x:v>forward run/walk ratio=2.66667</x:v>
      </x:c>
      <x:c r="G36" s="37" t="str">
        <x:v>exact_repeated_profile</x:v>
      </x:c>
      <x:c r="H36" s="37" t="str">
        <x:v>observed_pattern</x:v>
      </x:c>
      <x:c r="I36" s="37" t="str">
        <x:v>False</x:v>
      </x:c>
    </x:row>
    <x:row r="37">
      <x:c r="A37" s="37" t="str">
        <x:v>movement_numeric</x:v>
      </x:c>
      <x:c r="B37" s="37" t="str">
        <x:v>BladeAndBlunt.esp</x:v>
      </x:c>
      <x:c r="C37" s="38" t="str">
        <x:v>Exact MOVT profile MOVT-P02 | NPC_1HM_MT;NPC_2HM_MT;NPC_Default_MT</x:v>
      </x:c>
      <x:c r="D37" s="37" t="str">
        <x:v>3</x:v>
      </x:c>
      <x:c r="E37" s="38" t="str">
        <x:v>forward walk/run 80.0/350.0; back 75.0/200.0; rotate-run-deg 180.000</x:v>
      </x:c>
      <x:c r="F37" s="38" t="str">
        <x:v>forward run/walk ratio=4.375</x:v>
      </x:c>
      <x:c r="G37" s="37" t="str">
        <x:v>exact_repeated_profile</x:v>
      </x:c>
      <x:c r="H37" s="37" t="str">
        <x:v>observed_pattern</x:v>
      </x:c>
      <x:c r="I37" s="37" t="str">
        <x:v>False</x:v>
      </x:c>
    </x:row>
    <x:row r="38">
      <x:c r="A38" s="37" t="str">
        <x:v>movement_thresholds</x:v>
      </x:c>
      <x:c r="B38" s="37" t="str">
        <x:v>BladeAndBlunt.esp</x:v>
      </x:c>
      <x:c r="C38" s="38" t="str">
        <x:v>All supplied MOVT INAM thresholds use FLT_MAX sentinel</x:v>
      </x:c>
      <x:c r="D38" s="37" t="str">
        <x:v>12</x:v>
      </x:c>
      <x:c r="E38" s="38" t="str">
        <x:v>directional/movement/rotation threshold = FLT_MAX sentinel in every record</x:v>
      </x:c>
      <x:c r="F38" s="38" t="str">
        <x:v>sentinel</x:v>
      </x:c>
      <x:c r="G38" s="37" t="str">
        <x:v>complete_domain_observation</x:v>
      </x:c>
      <x:c r="H38" s="37" t="str">
        <x:v>observed_pattern</x:v>
      </x:c>
      <x:c r="I38" s="37" t="str">
        <x:v>False</x:v>
      </x:c>
    </x:row>
    <x:row r="39">
      <x:c r="A39" s="37" t="str">
        <x:v>perk_entry_point</x:v>
      </x:c>
      <x:c r="B39" s="37" t="str">
        <x:v>Adamant.esp</x:v>
      </x:c>
      <x:c r="C39" s="38" t="str">
        <x:v>Apply Bashing Spell | Select Spell | spell</x:v>
      </x:c>
      <x:c r="D39" s="37" t="str">
        <x:v>8</x:v>
      </x:c>
      <x:c r="E39" s="38" t="str"/>
      <x:c r="F39" s="38" t="str"/>
      <x:c r="G39" s="37" t="str">
        <x:v>descriptive_frequency</x:v>
      </x:c>
      <x:c r="H39" s="37" t="str">
        <x:v>observed_pattern</x:v>
      </x:c>
      <x:c r="I39" s="37" t="str">
        <x:v>False</x:v>
      </x:c>
    </x:row>
    <x:row r="40">
      <x:c r="A40" s="37" t="str">
        <x:v>perk_entry_point</x:v>
      </x:c>
      <x:c r="B40" s="37" t="str">
        <x:v>Adamant.esp</x:v>
      </x:c>
      <x:c r="C40" s="38" t="str">
        <x:v>Apply Combat Hit Spell | Select Spell | spell</x:v>
      </x:c>
      <x:c r="D40" s="37" t="str">
        <x:v>49</x:v>
      </x:c>
      <x:c r="E40" s="38" t="str"/>
      <x:c r="F40" s="38" t="str"/>
      <x:c r="G40" s="37" t="str">
        <x:v>descriptive_frequency</x:v>
      </x:c>
      <x:c r="H40" s="37" t="str">
        <x:v>observed_pattern</x:v>
      </x:c>
      <x:c r="I40" s="37" t="str">
        <x:v>False</x:v>
      </x:c>
    </x:row>
    <x:row r="41">
      <x:c r="A41" s="37" t="str">
        <x:v>perk_entry_point</x:v>
      </x:c>
      <x:c r="B41" s="37" t="str">
        <x:v>Adamant.esp</x:v>
      </x:c>
      <x:c r="C41" s="38" t="str">
        <x:v>Apply Reanimate Spell | Select Spell | spell</x:v>
      </x:c>
      <x:c r="D41" s="37" t="str">
        <x:v>10</x:v>
      </x:c>
      <x:c r="E41" s="38" t="str"/>
      <x:c r="F41" s="38" t="str"/>
      <x:c r="G41" s="37" t="str">
        <x:v>descriptive_frequency</x:v>
      </x:c>
      <x:c r="H41" s="37" t="str">
        <x:v>observed_pattern</x:v>
      </x:c>
      <x:c r="I41" s="37" t="str">
        <x:v>False</x:v>
      </x:c>
    </x:row>
    <x:row r="42">
      <x:c r="A42" s="37" t="str">
        <x:v>perk_entry_point</x:v>
      </x:c>
      <x:c r="B42" s="37" t="str">
        <x:v>Adamant.esp</x:v>
      </x:c>
      <x:c r="C42" s="38" t="str">
        <x:v>Apply Sneaking Spell | Select Spell | spell</x:v>
      </x:c>
      <x:c r="D42" s="37" t="str">
        <x:v>5</x:v>
      </x:c>
      <x:c r="E42" s="38" t="str"/>
      <x:c r="F42" s="38" t="str"/>
      <x:c r="G42" s="37" t="str">
        <x:v>descriptive_frequency</x:v>
      </x:c>
      <x:c r="H42" s="37" t="str">
        <x:v>observed_pattern</x:v>
      </x:c>
      <x:c r="I42" s="37" t="str">
        <x:v>False</x:v>
      </x:c>
    </x:row>
    <x:row r="43">
      <x:c r="A43" s="37" t="str">
        <x:v>perk_entry_point</x:v>
      </x:c>
      <x:c r="B43" s="37" t="str">
        <x:v>Adamant.esp</x:v>
      </x:c>
      <x:c r="C43" s="38" t="str">
        <x:v>Calculate My Critical Hit Chance | Add Value | float</x:v>
      </x:c>
      <x:c r="D43" s="37" t="str">
        <x:v>6</x:v>
      </x:c>
      <x:c r="E43" s="38" t="str">
        <x:v>20.0..30.0</x:v>
      </x:c>
      <x:c r="F43" s="38" t="str">
        <x:v>25.0</x:v>
      </x:c>
      <x:c r="G43" s="37" t="str">
        <x:v>descriptive_frequency</x:v>
      </x:c>
      <x:c r="H43" s="37" t="str">
        <x:v>observed_pattern</x:v>
      </x:c>
      <x:c r="I43" s="37" t="str">
        <x:v>False</x:v>
      </x:c>
    </x:row>
    <x:row r="44">
      <x:c r="A44" s="37" t="str">
        <x:v>perk_entry_point</x:v>
      </x:c>
      <x:c r="B44" s="37" t="str">
        <x:v>Adamant.esp</x:v>
      </x:c>
      <x:c r="C44" s="38" t="str">
        <x:v>Calculate My Critical Hit Damage | Multiply Value | float</x:v>
      </x:c>
      <x:c r="D44" s="37" t="str">
        <x:v>4</x:v>
      </x:c>
      <x:c r="E44" s="38" t="str">
        <x:v>0.5..2.0</x:v>
      </x:c>
      <x:c r="F44" s="38" t="str">
        <x:v>1.0</x:v>
      </x:c>
      <x:c r="G44" s="37" t="str">
        <x:v>descriptive_frequency</x:v>
      </x:c>
      <x:c r="H44" s="37" t="str">
        <x:v>observed_pattern</x:v>
      </x:c>
      <x:c r="I44" s="37" t="str">
        <x:v>False</x:v>
      </x:c>
    </x:row>
    <x:row r="45">
      <x:c r="A45" s="37" t="str">
        <x:v>perk_entry_point</x:v>
      </x:c>
      <x:c r="B45" s="37" t="str">
        <x:v>Adamant.esp</x:v>
      </x:c>
      <x:c r="C45" s="38" t="str">
        <x:v>Mod Alchemy Effectiveness | Multiply Value | float</x:v>
      </x:c>
      <x:c r="D45" s="37" t="str">
        <x:v>9</x:v>
      </x:c>
      <x:c r="E45" s="38" t="str">
        <x:v>0.625..2.0</x:v>
      </x:c>
      <x:c r="F45" s="38" t="str">
        <x:v>1.5</x:v>
      </x:c>
      <x:c r="G45" s="37" t="str">
        <x:v>descriptive_frequency</x:v>
      </x:c>
      <x:c r="H45" s="37" t="str">
        <x:v>observed_pattern</x:v>
      </x:c>
      <x:c r="I45" s="37" t="str">
        <x:v>False</x:v>
      </x:c>
    </x:row>
    <x:row r="46">
      <x:c r="A46" s="37" t="str">
        <x:v>perk_entry_point</x:v>
      </x:c>
      <x:c r="B46" s="37" t="str">
        <x:v>Adamant.esp</x:v>
      </x:c>
      <x:c r="C46" s="38" t="str">
        <x:v>Mod Armor Rating | Multiply Value | float</x:v>
      </x:c>
      <x:c r="D46" s="37" t="str">
        <x:v>6</x:v>
      </x:c>
      <x:c r="E46" s="38" t="str">
        <x:v>1.0130000114440918..1.5</x:v>
      </x:c>
      <x:c r="F46" s="38" t="str">
        <x:v>1.25</x:v>
      </x:c>
      <x:c r="G46" s="37" t="str">
        <x:v>descriptive_frequency</x:v>
      </x:c>
      <x:c r="H46" s="37" t="str">
        <x:v>observed_pattern</x:v>
      </x:c>
      <x:c r="I46" s="37" t="str">
        <x:v>False</x:v>
      </x:c>
    </x:row>
    <x:row r="47">
      <x:c r="A47" s="37" t="str">
        <x:v>perk_entry_point</x:v>
      </x:c>
      <x:c r="B47" s="37" t="str">
        <x:v>Adamant.esp</x:v>
      </x:c>
      <x:c r="C47" s="38" t="str">
        <x:v>Mod Armor Weight | Multiply Value | float</x:v>
      </x:c>
      <x:c r="D47" s="37" t="str">
        <x:v>4</x:v>
      </x:c>
      <x:c r="E47" s="38" t="str">
        <x:v>0.0..0.5</x:v>
      </x:c>
      <x:c r="F47" s="38" t="str">
        <x:v>0.25</x:v>
      </x:c>
      <x:c r="G47" s="37" t="str">
        <x:v>descriptive_frequency</x:v>
      </x:c>
      <x:c r="H47" s="37" t="str">
        <x:v>observed_pattern</x:v>
      </x:c>
      <x:c r="I47" s="37" t="str">
        <x:v>False</x:v>
      </x:c>
    </x:row>
    <x:row r="48">
      <x:c r="A48" s="37" t="str">
        <x:v>perk_entry_point</x:v>
      </x:c>
      <x:c r="B48" s="37" t="str">
        <x:v>Adamant.esp</x:v>
      </x:c>
      <x:c r="C48" s="38" t="str">
        <x:v>Mod Attack Damage | Multiply 1 + Actor Value Mult | actor_value_float</x:v>
      </x:c>
      <x:c r="D48" s="37" t="str">
        <x:v>5</x:v>
      </x:c>
      <x:c r="E48" s="38" t="str">
        <x:v>0.0010000000474974513..0.009999999776482582</x:v>
      </x:c>
      <x:c r="F48" s="38" t="str">
        <x:v>0.009999999776482582</x:v>
      </x:c>
      <x:c r="G48" s="37" t="str">
        <x:v>descriptive_frequency</x:v>
      </x:c>
      <x:c r="H48" s="37" t="str">
        <x:v>observed_pattern</x:v>
      </x:c>
      <x:c r="I48" s="37" t="str">
        <x:v>False</x:v>
      </x:c>
    </x:row>
    <x:row r="49">
      <x:c r="A49" s="37" t="str">
        <x:v>perk_entry_point</x:v>
      </x:c>
      <x:c r="B49" s="37" t="str">
        <x:v>Adamant.esp</x:v>
      </x:c>
      <x:c r="C49" s="38" t="str">
        <x:v>Mod Attack Damage | Multiply Value | float</x:v>
      </x:c>
      <x:c r="D49" s="37" t="str">
        <x:v>14</x:v>
      </x:c>
      <x:c r="E49" s="38" t="str">
        <x:v>0.0..1.5</x:v>
      </x:c>
      <x:c r="F49" s="38" t="str">
        <x:v>1.2099999785423279</x:v>
      </x:c>
      <x:c r="G49" s="37" t="str">
        <x:v>descriptive_frequency</x:v>
      </x:c>
      <x:c r="H49" s="37" t="str">
        <x:v>observed_pattern</x:v>
      </x:c>
      <x:c r="I49" s="37" t="str">
        <x:v>False</x:v>
      </x:c>
    </x:row>
    <x:row r="50">
      <x:c r="A50" s="37" t="str">
        <x:v>perk_entry_point</x:v>
      </x:c>
      <x:c r="B50" s="37" t="str">
        <x:v>Adamant.esp</x:v>
      </x:c>
      <x:c r="C50" s="38" t="str">
        <x:v>Mod Bashing Damage | Multiply Value | float</x:v>
      </x:c>
      <x:c r="D50" s="37" t="str">
        <x:v>5</x:v>
      </x:c>
      <x:c r="E50" s="38" t="str">
        <x:v>0.0..5.0</x:v>
      </x:c>
      <x:c r="F50" s="38" t="str">
        <x:v>1.340000033378601</x:v>
      </x:c>
      <x:c r="G50" s="37" t="str">
        <x:v>descriptive_frequency</x:v>
      </x:c>
      <x:c r="H50" s="37" t="str">
        <x:v>observed_pattern</x:v>
      </x:c>
      <x:c r="I50" s="37" t="str">
        <x:v>False</x:v>
      </x:c>
    </x:row>
    <x:row r="51">
      <x:c r="A51" s="37" t="str">
        <x:v>perk_entry_point</x:v>
      </x:c>
      <x:c r="B51" s="37" t="str">
        <x:v>Adamant.esp</x:v>
      </x:c>
      <x:c r="C51" s="38" t="str">
        <x:v>Mod Bow Zoom | Add Value | float</x:v>
      </x:c>
      <x:c r="D51" s="37" t="str">
        <x:v>5</x:v>
      </x:c>
      <x:c r="E51" s="38" t="str">
        <x:v>0.15000000596046448..0.20000000298023224</x:v>
      </x:c>
      <x:c r="F51" s="38" t="str">
        <x:v>0.20000000298023224</x:v>
      </x:c>
      <x:c r="G51" s="37" t="str">
        <x:v>descriptive_frequency</x:v>
      </x:c>
      <x:c r="H51" s="37" t="str">
        <x:v>observed_pattern</x:v>
      </x:c>
      <x:c r="I51" s="37" t="str">
        <x:v>False</x:v>
      </x:c>
    </x:row>
    <x:row r="52">
      <x:c r="A52" s="37" t="str">
        <x:v>perk_entry_point</x:v>
      </x:c>
      <x:c r="B52" s="37" t="str">
        <x:v>Adamant.esp</x:v>
      </x:c>
      <x:c r="C52" s="38" t="str">
        <x:v>Mod Buy Prices | Multiply Value | float</x:v>
      </x:c>
      <x:c r="D52" s="37" t="str">
        <x:v>3</x:v>
      </x:c>
      <x:c r="E52" s="38" t="str">
        <x:v>0.75..0.8999999761581421</x:v>
      </x:c>
      <x:c r="F52" s="38" t="str">
        <x:v>0.800000011920929</x:v>
      </x:c>
      <x:c r="G52" s="37" t="str">
        <x:v>descriptive_frequency</x:v>
      </x:c>
      <x:c r="H52" s="37" t="str">
        <x:v>observed_pattern</x:v>
      </x:c>
      <x:c r="I52" s="37" t="str">
        <x:v>False</x:v>
      </x:c>
    </x:row>
    <x:row r="53">
      <x:c r="A53" s="37" t="str">
        <x:v>perk_entry_point</x:v>
      </x:c>
      <x:c r="B53" s="37" t="str">
        <x:v>Adamant.esp</x:v>
      </x:c>
      <x:c r="C53" s="38" t="str">
        <x:v>Mod Commanded Actor Limit | Add Value | float</x:v>
      </x:c>
      <x:c r="D53" s="37" t="str">
        <x:v>4</x:v>
      </x:c>
      <x:c r="E53" s="38" t="str">
        <x:v>1.0..99.0</x:v>
      </x:c>
      <x:c r="F53" s="38" t="str">
        <x:v>1.0</x:v>
      </x:c>
      <x:c r="G53" s="37" t="str">
        <x:v>descriptive_frequency</x:v>
      </x:c>
      <x:c r="H53" s="37" t="str">
        <x:v>observed_pattern</x:v>
      </x:c>
      <x:c r="I53" s="37" t="str">
        <x:v>False</x:v>
      </x:c>
    </x:row>
    <x:row r="54">
      <x:c r="A54" s="37" t="str">
        <x:v>perk_entry_point</x:v>
      </x:c>
      <x:c r="B54" s="37" t="str">
        <x:v>Adamant.esp</x:v>
      </x:c>
      <x:c r="C54" s="38" t="str">
        <x:v>Mod Detection Sneak Skill | Add Value | float</x:v>
      </x:c>
      <x:c r="D54" s="37" t="str">
        <x:v>5</x:v>
      </x:c>
      <x:c r="E54" s="38" t="str">
        <x:v>25.0..50.0</x:v>
      </x:c>
      <x:c r="F54" s="38" t="str">
        <x:v>40.0</x:v>
      </x:c>
      <x:c r="G54" s="37" t="str">
        <x:v>descriptive_frequency</x:v>
      </x:c>
      <x:c r="H54" s="37" t="str">
        <x:v>observed_pattern</x:v>
      </x:c>
      <x:c r="I54" s="37" t="str">
        <x:v>False</x:v>
      </x:c>
    </x:row>
    <x:row r="55">
      <x:c r="A55" s="37" t="str">
        <x:v>perk_entry_point</x:v>
      </x:c>
      <x:c r="B55" s="37" t="str">
        <x:v>Adamant.esp</x:v>
      </x:c>
      <x:c r="C55" s="38" t="str">
        <x:v>Mod Enchantment Power | Multiply Value | float</x:v>
      </x:c>
      <x:c r="D55" s="37" t="str">
        <x:v>9</x:v>
      </x:c>
      <x:c r="E55" s="38" t="str">
        <x:v>0.6700000166893005..2.0</x:v>
      </x:c>
      <x:c r="F55" s="38" t="str">
        <x:v>1.5</x:v>
      </x:c>
      <x:c r="G55" s="37" t="str">
        <x:v>descriptive_frequency</x:v>
      </x:c>
      <x:c r="H55" s="37" t="str">
        <x:v>observed_pattern</x:v>
      </x:c>
      <x:c r="I55" s="37" t="str">
        <x:v>False</x:v>
      </x:c>
    </x:row>
    <x:row r="56">
      <x:c r="A56" s="37" t="str">
        <x:v>perk_entry_point</x:v>
      </x:c>
      <x:c r="B56" s="37" t="str">
        <x:v>Adamant.esp</x:v>
      </x:c>
      <x:c r="C56" s="38" t="str">
        <x:v>Mod Incoming Damage | Multiply Value | float</x:v>
      </x:c>
      <x:c r="D56" s="37" t="str">
        <x:v>21</x:v>
      </x:c>
      <x:c r="E56" s="38" t="str">
        <x:v>0.0..2.0</x:v>
      </x:c>
      <x:c r="F56" s="38" t="str">
        <x:v>0.6700000166893005</x:v>
      </x:c>
      <x:c r="G56" s="37" t="str">
        <x:v>descriptive_frequency</x:v>
      </x:c>
      <x:c r="H56" s="37" t="str">
        <x:v>observed_pattern</x:v>
      </x:c>
      <x:c r="I56" s="37" t="str">
        <x:v>False</x:v>
      </x:c>
    </x:row>
    <x:row r="57">
      <x:c r="A57" s="37" t="str">
        <x:v>perk_entry_point</x:v>
      </x:c>
      <x:c r="B57" s="37" t="str">
        <x:v>Adamant.esp</x:v>
      </x:c>
      <x:c r="C57" s="38" t="str">
        <x:v>Mod Incoming Spell Duration | Multiply Value | float</x:v>
      </x:c>
      <x:c r="D57" s="37" t="str">
        <x:v>4</x:v>
      </x:c>
      <x:c r="E57" s="38" t="str">
        <x:v>-1.0..2.0</x:v>
      </x:c>
      <x:c r="F57" s="38" t="str">
        <x:v>0.0</x:v>
      </x:c>
      <x:c r="G57" s="37" t="str">
        <x:v>descriptive_frequency</x:v>
      </x:c>
      <x:c r="H57" s="37" t="str">
        <x:v>observed_pattern</x:v>
      </x:c>
      <x:c r="I57" s="37" t="str">
        <x:v>False</x:v>
      </x:c>
    </x:row>
    <x:row r="58">
      <x:c r="A58" s="37" t="str">
        <x:v>perk_entry_point</x:v>
      </x:c>
      <x:c r="B58" s="37" t="str">
        <x:v>Adamant.esp</x:v>
      </x:c>
      <x:c r="C58" s="38" t="str">
        <x:v>Mod Incoming Spell Magnitude | Multiply 1 + Actor Value Mult | actor_value_float</x:v>
      </x:c>
      <x:c r="D58" s="37" t="str">
        <x:v>3</x:v>
      </x:c>
      <x:c r="E58" s="38" t="str">
        <x:v>-0.001500000013038516..0.0010000000474974513</x:v>
      </x:c>
      <x:c r="F58" s="38" t="str">
        <x:v>0.0010000000474974513</x:v>
      </x:c>
      <x:c r="G58" s="37" t="str">
        <x:v>descriptive_frequency</x:v>
      </x:c>
      <x:c r="H58" s="37" t="str">
        <x:v>observed_pattern</x:v>
      </x:c>
      <x:c r="I58" s="37" t="str">
        <x:v>False</x:v>
      </x:c>
    </x:row>
    <x:row r="59">
      <x:c r="A59" s="37" t="str">
        <x:v>perk_entry_point</x:v>
      </x:c>
      <x:c r="B59" s="37" t="str">
        <x:v>Adamant.esp</x:v>
      </x:c>
      <x:c r="C59" s="38" t="str">
        <x:v>Mod Incoming Spell Magnitude | Multiply Value | float</x:v>
      </x:c>
      <x:c r="D59" s="37" t="str">
        <x:v>48</x:v>
      </x:c>
      <x:c r="E59" s="38" t="str">
        <x:v>0.0..2.0</x:v>
      </x:c>
      <x:c r="F59" s="38" t="str">
        <x:v>0.5</x:v>
      </x:c>
      <x:c r="G59" s="37" t="str">
        <x:v>descriptive_frequency</x:v>
      </x:c>
      <x:c r="H59" s="37" t="str">
        <x:v>observed_pattern</x:v>
      </x:c>
      <x:c r="I59" s="37" t="str">
        <x:v>False</x:v>
      </x:c>
    </x:row>
    <x:row r="60">
      <x:c r="A60" s="37" t="str">
        <x:v>perk_entry_point</x:v>
      </x:c>
      <x:c r="B60" s="37" t="str">
        <x:v>Adamant.esp</x:v>
      </x:c>
      <x:c r="C60" s="38" t="str">
        <x:v>Mod Ingredients Harvested | Add Value | float</x:v>
      </x:c>
      <x:c r="D60" s="37" t="str">
        <x:v>3</x:v>
      </x:c>
      <x:c r="E60" s="38" t="str">
        <x:v>1.0..2.0</x:v>
      </x:c>
      <x:c r="F60" s="38" t="str">
        <x:v>1.0</x:v>
      </x:c>
      <x:c r="G60" s="37" t="str">
        <x:v>descriptive_frequency</x:v>
      </x:c>
      <x:c r="H60" s="37" t="str">
        <x:v>observed_pattern</x:v>
      </x:c>
      <x:c r="I60" s="37" t="str">
        <x:v>False</x:v>
      </x:c>
    </x:row>
    <x:row r="61">
      <x:c r="A61" s="37" t="str">
        <x:v>perk_entry_point</x:v>
      </x:c>
      <x:c r="B61" s="37" t="str">
        <x:v>Adamant.esp</x:v>
      </x:c>
      <x:c r="C61" s="38" t="str">
        <x:v>Mod Initial Ingredient Effects Learned | Add Value | float</x:v>
      </x:c>
      <x:c r="D61" s="37" t="str">
        <x:v>3</x:v>
      </x:c>
      <x:c r="E61" s="38" t="str">
        <x:v>1.0..1.0</x:v>
      </x:c>
      <x:c r="F61" s="38" t="str">
        <x:v>1.0</x:v>
      </x:c>
      <x:c r="G61" s="37" t="str">
        <x:v>descriptive_frequency</x:v>
      </x:c>
      <x:c r="H61" s="37" t="str">
        <x:v>observed_pattern</x:v>
      </x:c>
      <x:c r="I61" s="37" t="str">
        <x:v>False</x:v>
      </x:c>
    </x:row>
    <x:row r="62">
      <x:c r="A62" s="37" t="str">
        <x:v>perk_entry_point</x:v>
      </x:c>
      <x:c r="B62" s="37" t="str">
        <x:v>Adamant.esp</x:v>
      </x:c>
      <x:c r="C62" s="38" t="str">
        <x:v>Mod Lockpick Sweet Spot | Multiply Value | float</x:v>
      </x:c>
      <x:c r="D62" s="37" t="str">
        <x:v>5</x:v>
      </x:c>
      <x:c r="E62" s="38" t="str">
        <x:v>1.5..2.0</x:v>
      </x:c>
      <x:c r="F62" s="38" t="str">
        <x:v>1.7999999523162842</x:v>
      </x:c>
      <x:c r="G62" s="37" t="str">
        <x:v>descriptive_frequency</x:v>
      </x:c>
      <x:c r="H62" s="37" t="str">
        <x:v>observed_pattern</x:v>
      </x:c>
      <x:c r="I62" s="37" t="str">
        <x:v>False</x:v>
      </x:c>
    </x:row>
    <x:row r="63">
      <x:c r="A63" s="37" t="str">
        <x:v>perk_entry_point</x:v>
      </x:c>
      <x:c r="B63" s="37" t="str">
        <x:v>Adamant.esp</x:v>
      </x:c>
      <x:c r="C63" s="38" t="str">
        <x:v>Mod Pickpocket Chance | Add Value | float</x:v>
      </x:c>
      <x:c r="D63" s="37" t="str">
        <x:v>7</x:v>
      </x:c>
      <x:c r="E63" s="38" t="str">
        <x:v>25.0..50.0</x:v>
      </x:c>
      <x:c r="F63" s="38" t="str">
        <x:v>25.0</x:v>
      </x:c>
      <x:c r="G63" s="37" t="str">
        <x:v>descriptive_frequency</x:v>
      </x:c>
      <x:c r="H63" s="37" t="str">
        <x:v>observed_pattern</x:v>
      </x:c>
      <x:c r="I63" s="37" t="str">
        <x:v>False</x:v>
      </x:c>
    </x:row>
    <x:row r="64">
      <x:c r="A64" s="37" t="str">
        <x:v>perk_entry_point</x:v>
      </x:c>
      <x:c r="B64" s="37" t="str">
        <x:v>Adamant.esp</x:v>
      </x:c>
      <x:c r="C64" s="38" t="str">
        <x:v>Mod Poison Dose Count | Add Value | float</x:v>
      </x:c>
      <x:c r="D64" s="37" t="str">
        <x:v>4</x:v>
      </x:c>
      <x:c r="E64" s="38" t="str">
        <x:v>1.0..1.0</x:v>
      </x:c>
      <x:c r="F64" s="38" t="str">
        <x:v>1.0</x:v>
      </x:c>
      <x:c r="G64" s="37" t="str">
        <x:v>descriptive_frequency</x:v>
      </x:c>
      <x:c r="H64" s="37" t="str">
        <x:v>observed_pattern</x:v>
      </x:c>
      <x:c r="I64" s="37" t="str">
        <x:v>False</x:v>
      </x:c>
    </x:row>
    <x:row r="65">
      <x:c r="A65" s="37" t="str">
        <x:v>perk_entry_point</x:v>
      </x:c>
      <x:c r="B65" s="37" t="str">
        <x:v>Adamant.esp</x:v>
      </x:c>
      <x:c r="C65" s="38" t="str">
        <x:v>Mod Power Attack Damage | Multiply Value | float</x:v>
      </x:c>
      <x:c r="D65" s="37" t="str">
        <x:v>10</x:v>
      </x:c>
      <x:c r="E65" s="38" t="str">
        <x:v>1.25..5.0</x:v>
      </x:c>
      <x:c r="F65" s="38" t="str">
        <x:v>1.5</x:v>
      </x:c>
      <x:c r="G65" s="37" t="str">
        <x:v>descriptive_frequency</x:v>
      </x:c>
      <x:c r="H65" s="37" t="str">
        <x:v>observed_pattern</x:v>
      </x:c>
      <x:c r="I65" s="37" t="str">
        <x:v>False</x:v>
      </x:c>
    </x:row>
    <x:row r="66">
      <x:c r="A66" s="37" t="str">
        <x:v>perk_entry_point</x:v>
      </x:c>
      <x:c r="B66" s="37" t="str">
        <x:v>Adamant.esp</x:v>
      </x:c>
      <x:c r="C66" s="38" t="str">
        <x:v>Mod Power Attack Stamina | Multiply Value | float</x:v>
      </x:c>
      <x:c r="D66" s="37" t="str">
        <x:v>6</x:v>
      </x:c>
      <x:c r="E66" s="38" t="str">
        <x:v>0.75..1.2000000476837158</x:v>
      </x:c>
      <x:c r="F66" s="38" t="str">
        <x:v>0.800000011920929</x:v>
      </x:c>
      <x:c r="G66" s="37" t="str">
        <x:v>descriptive_frequency</x:v>
      </x:c>
      <x:c r="H66" s="37" t="str">
        <x:v>observed_pattern</x:v>
      </x:c>
      <x:c r="I66" s="37" t="str">
        <x:v>False</x:v>
      </x:c>
    </x:row>
    <x:row r="67">
      <x:c r="A67" s="37" t="str">
        <x:v>perk_entry_point</x:v>
      </x:c>
      <x:c r="B67" s="37" t="str">
        <x:v>Adamant.esp</x:v>
      </x:c>
      <x:c r="C67" s="38" t="str">
        <x:v>Mod Recover Arrow Chance | Set Value | float</x:v>
      </x:c>
      <x:c r="D67" s="37" t="str">
        <x:v>11</x:v>
      </x:c>
      <x:c r="E67" s="38" t="str">
        <x:v>25.0..75.0</x:v>
      </x:c>
      <x:c r="F67" s="38" t="str">
        <x:v>50.0</x:v>
      </x:c>
      <x:c r="G67" s="37" t="str">
        <x:v>descriptive_frequency</x:v>
      </x:c>
      <x:c r="H67" s="37" t="str">
        <x:v>observed_pattern</x:v>
      </x:c>
      <x:c r="I67" s="37" t="str">
        <x:v>False</x:v>
      </x:c>
    </x:row>
    <x:row r="68">
      <x:c r="A68" s="37" t="str">
        <x:v>perk_entry_point</x:v>
      </x:c>
      <x:c r="B68" s="37" t="str">
        <x:v>Adamant.esp</x:v>
      </x:c>
      <x:c r="C68" s="38" t="str">
        <x:v>Mod Secondary Value Weight | Multiply Value | float</x:v>
      </x:c>
      <x:c r="D68" s="37" t="str">
        <x:v>4</x:v>
      </x:c>
      <x:c r="E68" s="38" t="str">
        <x:v>0.5..2.0</x:v>
      </x:c>
      <x:c r="F68" s="38" t="str">
        <x:v>1.25</x:v>
      </x:c>
      <x:c r="G68" s="37" t="str">
        <x:v>descriptive_frequency</x:v>
      </x:c>
      <x:c r="H68" s="37" t="str">
        <x:v>observed_pattern</x:v>
      </x:c>
      <x:c r="I68" s="37" t="str">
        <x:v>False</x:v>
      </x:c>
    </x:row>
    <x:row r="69">
      <x:c r="A69" s="37" t="str">
        <x:v>perk_entry_point</x:v>
      </x:c>
      <x:c r="B69" s="37" t="str">
        <x:v>Adamant.esp</x:v>
      </x:c>
      <x:c r="C69" s="38" t="str">
        <x:v>Mod Sell Prices | Multiply Value | float</x:v>
      </x:c>
      <x:c r="D69" s="37" t="str">
        <x:v>4</x:v>
      </x:c>
      <x:c r="E69" s="38" t="str">
        <x:v>1.100000023841858..1.25</x:v>
      </x:c>
      <x:c r="F69" s="38" t="str">
        <x:v>1.225000023841858</x:v>
      </x:c>
      <x:c r="G69" s="37" t="str">
        <x:v>descriptive_frequency</x:v>
      </x:c>
      <x:c r="H69" s="37" t="str">
        <x:v>observed_pattern</x:v>
      </x:c>
      <x:c r="I69" s="37" t="str">
        <x:v>False</x:v>
      </x:c>
    </x:row>
    <x:row r="70">
      <x:c r="A70" s="37" t="str">
        <x:v>perk_entry_point</x:v>
      </x:c>
      <x:c r="B70" s="37" t="str">
        <x:v>Adamant.esp</x:v>
      </x:c>
      <x:c r="C70" s="38" t="str">
        <x:v>Mod Skill Use | Multiply Value | float</x:v>
      </x:c>
      <x:c r="D70" s="37" t="str">
        <x:v>4</x:v>
      </x:c>
      <x:c r="E70" s="38" t="str">
        <x:v>0.05000000074505806..1.100000023841858</x:v>
      </x:c>
      <x:c r="F70" s="38" t="str">
        <x:v>1.100000023841858</x:v>
      </x:c>
      <x:c r="G70" s="37" t="str">
        <x:v>descriptive_frequency</x:v>
      </x:c>
      <x:c r="H70" s="37" t="str">
        <x:v>observed_pattern</x:v>
      </x:c>
      <x:c r="I70" s="37" t="str">
        <x:v>False</x:v>
      </x:c>
    </x:row>
    <x:row r="71">
      <x:c r="A71" s="37" t="str">
        <x:v>perk_entry_point</x:v>
      </x:c>
      <x:c r="B71" s="37" t="str">
        <x:v>Adamant.esp</x:v>
      </x:c>
      <x:c r="C71" s="38" t="str">
        <x:v>Mod Sneak Attack Mult | Multiply Value | float</x:v>
      </x:c>
      <x:c r="D71" s="37" t="str">
        <x:v>7</x:v>
      </x:c>
      <x:c r="E71" s="38" t="str">
        <x:v>1.3350000381469727..2.0</x:v>
      </x:c>
      <x:c r="F71" s="38" t="str">
        <x:v>1.5</x:v>
      </x:c>
      <x:c r="G71" s="37" t="str">
        <x:v>descriptive_frequency</x:v>
      </x:c>
      <x:c r="H71" s="37" t="str">
        <x:v>observed_pattern</x:v>
      </x:c>
      <x:c r="I71" s="37" t="str">
        <x:v>False</x:v>
      </x:c>
    </x:row>
    <x:row r="72">
      <x:c r="A72" s="37" t="str">
        <x:v>perk_entry_point</x:v>
      </x:c>
      <x:c r="B72" s="37" t="str">
        <x:v>Adamant.esp</x:v>
      </x:c>
      <x:c r="C72" s="38" t="str">
        <x:v>Mod Spell Cost | Multiply Value | float</x:v>
      </x:c>
      <x:c r="D72" s="37" t="str">
        <x:v>37</x:v>
      </x:c>
      <x:c r="E72" s="38" t="str">
        <x:v>0.5..5.0</x:v>
      </x:c>
      <x:c r="F72" s="38" t="str">
        <x:v>0.75</x:v>
      </x:c>
      <x:c r="G72" s="37" t="str">
        <x:v>descriptive_frequency</x:v>
      </x:c>
      <x:c r="H72" s="37" t="str">
        <x:v>observed_pattern</x:v>
      </x:c>
      <x:c r="I72" s="37" t="str">
        <x:v>False</x:v>
      </x:c>
    </x:row>
    <x:row r="73">
      <x:c r="A73" s="37" t="str">
        <x:v>perk_entry_point</x:v>
      </x:c>
      <x:c r="B73" s="37" t="str">
        <x:v>Adamant.esp</x:v>
      </x:c>
      <x:c r="C73" s="38" t="str">
        <x:v>Mod Spell Duration | Add Value | float</x:v>
      </x:c>
      <x:c r="D73" s="37" t="str">
        <x:v>3</x:v>
      </x:c>
      <x:c r="E73" s="38" t="str">
        <x:v>0.5..2.0</x:v>
      </x:c>
      <x:c r="F73" s="38" t="str">
        <x:v>2.0</x:v>
      </x:c>
      <x:c r="G73" s="37" t="str">
        <x:v>descriptive_frequency</x:v>
      </x:c>
      <x:c r="H73" s="37" t="str">
        <x:v>observed_pattern</x:v>
      </x:c>
      <x:c r="I73" s="37" t="str">
        <x:v>False</x:v>
      </x:c>
    </x:row>
    <x:row r="74">
      <x:c r="A74" s="37" t="str">
        <x:v>perk_entry_point</x:v>
      </x:c>
      <x:c r="B74" s="37" t="str">
        <x:v>Adamant.esp</x:v>
      </x:c>
      <x:c r="C74" s="38" t="str">
        <x:v>Mod Spell Duration | Multiply Value | float</x:v>
      </x:c>
      <x:c r="D74" s="37" t="str">
        <x:v>36</x:v>
      </x:c>
      <x:c r="E74" s="38" t="str">
        <x:v>1.5..3333.340087890625</x:v>
      </x:c>
      <x:c r="F74" s="38" t="str">
        <x:v>2.0</x:v>
      </x:c>
      <x:c r="G74" s="37" t="str">
        <x:v>descriptive_frequency</x:v>
      </x:c>
      <x:c r="H74" s="37" t="str">
        <x:v>observed_pattern</x:v>
      </x:c>
      <x:c r="I74" s="37" t="str">
        <x:v>False</x:v>
      </x:c>
    </x:row>
    <x:row r="75">
      <x:c r="A75" s="37" t="str">
        <x:v>perk_entry_point</x:v>
      </x:c>
      <x:c r="B75" s="37" t="str">
        <x:v>Adamant.esp</x:v>
      </x:c>
      <x:c r="C75" s="38" t="str">
        <x:v>Mod Spell Magnitude | Add Value | float</x:v>
      </x:c>
      <x:c r="D75" s="37" t="str">
        <x:v>4</x:v>
      </x:c>
      <x:c r="E75" s="38" t="str">
        <x:v>0.25..0.25</x:v>
      </x:c>
      <x:c r="F75" s="38" t="str">
        <x:v>0.25</x:v>
      </x:c>
      <x:c r="G75" s="37" t="str">
        <x:v>descriptive_frequency</x:v>
      </x:c>
      <x:c r="H75" s="37" t="str">
        <x:v>observed_pattern</x:v>
      </x:c>
      <x:c r="I75" s="37" t="str">
        <x:v>False</x:v>
      </x:c>
    </x:row>
    <x:row r="76">
      <x:c r="A76" s="37" t="str">
        <x:v>perk_entry_point</x:v>
      </x:c>
      <x:c r="B76" s="37" t="str">
        <x:v>Adamant.esp</x:v>
      </x:c>
      <x:c r="C76" s="38" t="str">
        <x:v>Mod Spell Magnitude | Multiply Value | float</x:v>
      </x:c>
      <x:c r="D76" s="37" t="str">
        <x:v>116</x:v>
      </x:c>
      <x:c r="E76" s="38" t="str">
        <x:v>0.5..5.0</x:v>
      </x:c>
      <x:c r="F76" s="38" t="str">
        <x:v>1.5</x:v>
      </x:c>
      <x:c r="G76" s="37" t="str">
        <x:v>descriptive_frequency</x:v>
      </x:c>
      <x:c r="H76" s="37" t="str">
        <x:v>observed_pattern</x:v>
      </x:c>
      <x:c r="I76" s="37" t="str">
        <x:v>False</x:v>
      </x:c>
    </x:row>
    <x:row r="77">
      <x:c r="A77" s="37" t="str">
        <x:v>perk_entry_point</x:v>
      </x:c>
      <x:c r="B77" s="37" t="str">
        <x:v>Adamant.esp</x:v>
      </x:c>
      <x:c r="C77" s="38" t="str">
        <x:v>Mod Tempering Health | Add Value | float</x:v>
      </x:c>
      <x:c r="D77" s="37" t="str">
        <x:v>5</x:v>
      </x:c>
      <x:c r="E77" s="38" t="str">
        <x:v>0.10000000149011612..0.10000000149011612</x:v>
      </x:c>
      <x:c r="F77" s="38" t="str">
        <x:v>0.10000000149011612</x:v>
      </x:c>
      <x:c r="G77" s="37" t="str">
        <x:v>descriptive_frequency</x:v>
      </x:c>
      <x:c r="H77" s="37" t="str">
        <x:v>observed_pattern</x:v>
      </x:c>
      <x:c r="I77" s="37" t="str">
        <x:v>False</x:v>
      </x:c>
    </x:row>
    <x:row r="78">
      <x:c r="A78" s="37" t="str">
        <x:v>perk_entry_point</x:v>
      </x:c>
      <x:c r="B78" s="37" t="str">
        <x:v>Adamant.esp</x:v>
      </x:c>
      <x:c r="C78" s="38" t="str">
        <x:v>Set Boolean Graph Variable | Select Text | text</x:v>
      </x:c>
      <x:c r="D78" s="37" t="str">
        <x:v>3</x:v>
      </x:c>
      <x:c r="E78" s="38" t="str"/>
      <x:c r="F78" s="38" t="str"/>
      <x:c r="G78" s="37" t="str">
        <x:v>descriptive_frequency</x:v>
      </x:c>
      <x:c r="H78" s="37" t="str">
        <x:v>observed_pattern</x:v>
      </x:c>
      <x:c r="I78" s="37" t="str">
        <x:v>False</x:v>
      </x:c>
    </x:row>
    <x:row r="79">
      <x:c r="A79" s="37" t="str">
        <x:v>perk_entry_point</x:v>
      </x:c>
      <x:c r="B79" s="37" t="str">
        <x:v>AdamantBlade.esp</x:v>
      </x:c>
      <x:c r="C79" s="38" t="str">
        <x:v>Mod Incoming Spell Magnitude | Multiply Value | float</x:v>
      </x:c>
      <x:c r="D79" s="37" t="str">
        <x:v>3</x:v>
      </x:c>
      <x:c r="E79" s="38" t="str">
        <x:v>0.5..0.75</x:v>
      </x:c>
      <x:c r="F79" s="38" t="str">
        <x:v>0.5</x:v>
      </x:c>
      <x:c r="G79" s="37" t="str">
        <x:v>descriptive_frequency</x:v>
      </x:c>
      <x:c r="H79" s="37" t="str">
        <x:v>observed_pattern</x:v>
      </x:c>
      <x:c r="I79" s="37" t="str">
        <x:v>False</x:v>
      </x:c>
    </x:row>
    <x:row r="80">
      <x:c r="A80" s="37" t="str">
        <x:v>perk_entry_point</x:v>
      </x:c>
      <x:c r="B80" s="37" t="str">
        <x:v>AdamantBlade.esp</x:v>
      </x:c>
      <x:c r="C80" s="38" t="str">
        <x:v>Mod Spell Duration | Add Value | float</x:v>
      </x:c>
      <x:c r="D80" s="37" t="str">
        <x:v>4</x:v>
      </x:c>
      <x:c r="E80" s="38" t="str">
        <x:v>0.5..0.5</x:v>
      </x:c>
      <x:c r="F80" s="38" t="str">
        <x:v>0.5</x:v>
      </x:c>
      <x:c r="G80" s="37" t="str">
        <x:v>descriptive_frequency</x:v>
      </x:c>
      <x:c r="H80" s="37" t="str">
        <x:v>observed_pattern</x:v>
      </x:c>
      <x:c r="I80" s="37" t="str">
        <x:v>False</x:v>
      </x:c>
    </x:row>
    <x:row r="81">
      <x:c r="A81" s="37" t="str">
        <x:v>perk_entry_point</x:v>
      </x:c>
      <x:c r="B81" s="37" t="str">
        <x:v>AdamantBlade.esp</x:v>
      </x:c>
      <x:c r="C81" s="38" t="str">
        <x:v>Mod Spell Magnitude | Add Value | float</x:v>
      </x:c>
      <x:c r="D81" s="37" t="str">
        <x:v>4</x:v>
      </x:c>
      <x:c r="E81" s="38" t="str">
        <x:v>0.25..0.25</x:v>
      </x:c>
      <x:c r="F81" s="38" t="str">
        <x:v>0.25</x:v>
      </x:c>
      <x:c r="G81" s="37" t="str">
        <x:v>descriptive_frequency</x:v>
      </x:c>
      <x:c r="H81" s="37" t="str">
        <x:v>observed_pattern</x:v>
      </x:c>
      <x:c r="I81" s="37" t="str">
        <x:v>False</x:v>
      </x:c>
    </x:row>
    <x:row r="82">
      <x:c r="A82" s="37" t="str">
        <x:v>perk_entry_point</x:v>
      </x:c>
      <x:c r="B82" s="37" t="str">
        <x:v>AdamantCrossbows.esp</x:v>
      </x:c>
      <x:c r="C82" s="38" t="str">
        <x:v>Apply Combat Hit Spell | Select Spell | spell</x:v>
      </x:c>
      <x:c r="D82" s="37" t="str">
        <x:v>6</x:v>
      </x:c>
      <x:c r="E82" s="38" t="str"/>
      <x:c r="F82" s="38" t="str"/>
      <x:c r="G82" s="37" t="str">
        <x:v>descriptive_frequency</x:v>
      </x:c>
      <x:c r="H82" s="37" t="str">
        <x:v>observed_pattern</x:v>
      </x:c>
      <x:c r="I82" s="37" t="str">
        <x:v>False</x:v>
      </x:c>
    </x:row>
    <x:row r="83">
      <x:c r="A83" s="37" t="str">
        <x:v>perk_entry_point</x:v>
      </x:c>
      <x:c r="B83" s="37" t="str">
        <x:v>AdamantSmithing.esp</x:v>
      </x:c>
      <x:c r="C83" s="38" t="str">
        <x:v>Mod Tempering Health | Add Value | float</x:v>
      </x:c>
      <x:c r="D83" s="37" t="str">
        <x:v>4</x:v>
      </x:c>
      <x:c r="E83" s="38" t="str">
        <x:v>0.10000000149011612..0.10000000149011612</x:v>
      </x:c>
      <x:c r="F83" s="38" t="str">
        <x:v>0.10000000149011612</x:v>
      </x:c>
      <x:c r="G83" s="37" t="str">
        <x:v>descriptive_frequency</x:v>
      </x:c>
      <x:c r="H83" s="37" t="str">
        <x:v>observed_pattern</x:v>
      </x:c>
      <x:c r="I83" s="37" t="str">
        <x:v>False</x:v>
      </x:c>
    </x:row>
    <x:row r="84">
      <x:c r="A84" s="37" t="str">
        <x:v>perk_entry_point</x:v>
      </x:c>
      <x:c r="B84" s="37" t="str">
        <x:v>BladeAndBlunt.esp</x:v>
      </x:c>
      <x:c r="C84" s="38" t="str">
        <x:v>Apply Bashing Spell | Select Spell | spell</x:v>
      </x:c>
      <x:c r="D84" s="37" t="str">
        <x:v>9</x:v>
      </x:c>
      <x:c r="E84" s="38" t="str"/>
      <x:c r="F84" s="38" t="str"/>
      <x:c r="G84" s="37" t="str">
        <x:v>descriptive_frequency</x:v>
      </x:c>
      <x:c r="H84" s="37" t="str">
        <x:v>observed_pattern</x:v>
      </x:c>
      <x:c r="I84" s="37" t="str">
        <x:v>False</x:v>
      </x:c>
    </x:row>
    <x:row r="85">
      <x:c r="A85" s="37" t="str">
        <x:v>perk_entry_point</x:v>
      </x:c>
      <x:c r="B85" s="37" t="str">
        <x:v>BladeAndBlunt.esp</x:v>
      </x:c>
      <x:c r="C85" s="38" t="str">
        <x:v>Apply Combat Hit Spell | Select Spell | spell</x:v>
      </x:c>
      <x:c r="D85" s="37" t="str">
        <x:v>19</x:v>
      </x:c>
      <x:c r="E85" s="38" t="str"/>
      <x:c r="F85" s="38" t="str"/>
      <x:c r="G85" s="37" t="str">
        <x:v>descriptive_frequency</x:v>
      </x:c>
      <x:c r="H85" s="37" t="str">
        <x:v>observed_pattern</x:v>
      </x:c>
      <x:c r="I85" s="37" t="str">
        <x:v>False</x:v>
      </x:c>
    </x:row>
    <x:row r="86">
      <x:c r="A86" s="37" t="str">
        <x:v>perk_entry_point</x:v>
      </x:c>
      <x:c r="B86" s="37" t="str">
        <x:v>BladeAndBlunt.esp</x:v>
      </x:c>
      <x:c r="C86" s="38" t="str">
        <x:v>Calculate My Critical Hit Damage | Multiply Value | float</x:v>
      </x:c>
      <x:c r="D86" s="37" t="str">
        <x:v>6</x:v>
      </x:c>
      <x:c r="E86" s="38" t="str">
        <x:v>1.5..2.0</x:v>
      </x:c>
      <x:c r="F86" s="38" t="str">
        <x:v>1.5</x:v>
      </x:c>
      <x:c r="G86" s="37" t="str">
        <x:v>descriptive_frequency</x:v>
      </x:c>
      <x:c r="H86" s="37" t="str">
        <x:v>observed_pattern</x:v>
      </x:c>
      <x:c r="I86" s="37" t="str">
        <x:v>False</x:v>
      </x:c>
    </x:row>
    <x:row r="87">
      <x:c r="A87" s="37" t="str">
        <x:v>perk_entry_point</x:v>
      </x:c>
      <x:c r="B87" s="37" t="str">
        <x:v>BladeAndBlunt.esp</x:v>
      </x:c>
      <x:c r="C87" s="38" t="str">
        <x:v>Mod Attack Damage | Multiply Value | float</x:v>
      </x:c>
      <x:c r="D87" s="37" t="str">
        <x:v>14</x:v>
      </x:c>
      <x:c r="E87" s="38" t="str">
        <x:v>0.0..3.0</x:v>
      </x:c>
      <x:c r="F87" s="38" t="str">
        <x:v>1.5</x:v>
      </x:c>
      <x:c r="G87" s="37" t="str">
        <x:v>descriptive_frequency</x:v>
      </x:c>
      <x:c r="H87" s="37" t="str">
        <x:v>observed_pattern</x:v>
      </x:c>
      <x:c r="I87" s="37" t="str">
        <x:v>False</x:v>
      </x:c>
    </x:row>
    <x:row r="88">
      <x:c r="A88" s="37" t="str">
        <x:v>perk_entry_point</x:v>
      </x:c>
      <x:c r="B88" s="37" t="str">
        <x:v>BladeAndBlunt.esp</x:v>
      </x:c>
      <x:c r="C88" s="38" t="str">
        <x:v>Mod Bow Zoom | Set Value | float</x:v>
      </x:c>
      <x:c r="D88" s="37" t="str">
        <x:v>7</x:v>
      </x:c>
      <x:c r="E88" s="38" t="str">
        <x:v>0.0..0.75</x:v>
      </x:c>
      <x:c r="F88" s="38" t="str">
        <x:v>0.25</x:v>
      </x:c>
      <x:c r="G88" s="37" t="str">
        <x:v>descriptive_frequency</x:v>
      </x:c>
      <x:c r="H88" s="37" t="str">
        <x:v>observed_pattern</x:v>
      </x:c>
      <x:c r="I88" s="37" t="str">
        <x:v>False</x:v>
      </x:c>
    </x:row>
    <x:row r="89">
      <x:c r="A89" s="37" t="str">
        <x:v>perk_entry_point</x:v>
      </x:c>
      <x:c r="B89" s="37" t="str">
        <x:v>BladeAndBlunt.esp</x:v>
      </x:c>
      <x:c r="C89" s="38" t="str">
        <x:v>Mod Incoming Damage | Multiply Value | float</x:v>
      </x:c>
      <x:c r="D89" s="37" t="str">
        <x:v>3</x:v>
      </x:c>
      <x:c r="E89" s="38" t="str">
        <x:v>0.0..1.3300000429153442</x:v>
      </x:c>
      <x:c r="F89" s="38" t="str">
        <x:v>1.3300000429153442</x:v>
      </x:c>
      <x:c r="G89" s="37" t="str">
        <x:v>descriptive_frequency</x:v>
      </x:c>
      <x:c r="H89" s="37" t="str">
        <x:v>observed_pattern</x:v>
      </x:c>
      <x:c r="I89" s="37" t="str">
        <x:v>False</x:v>
      </x:c>
    </x:row>
    <x:row r="90">
      <x:c r="A90" s="37" t="str">
        <x:v>perk_entry_point</x:v>
      </x:c>
      <x:c r="B90" s="37" t="str">
        <x:v>BladeAndBlunt.esp</x:v>
      </x:c>
      <x:c r="C90" s="38" t="str">
        <x:v>Mod Incoming Spell Duration | Add Value | float</x:v>
      </x:c>
      <x:c r="D90" s="37" t="str">
        <x:v>9</x:v>
      </x:c>
      <x:c r="E90" s="38" t="str">
        <x:v>-1.0..1.0</x:v>
      </x:c>
      <x:c r="F90" s="38" t="str">
        <x:v>-0.5</x:v>
      </x:c>
      <x:c r="G90" s="37" t="str">
        <x:v>descriptive_frequency</x:v>
      </x:c>
      <x:c r="H90" s="37" t="str">
        <x:v>observed_pattern</x:v>
      </x:c>
      <x:c r="I90" s="37" t="str">
        <x:v>False</x:v>
      </x:c>
    </x:row>
    <x:row r="91">
      <x:c r="A91" s="37" t="str">
        <x:v>perk_entry_point</x:v>
      </x:c>
      <x:c r="B91" s="37" t="str">
        <x:v>BladeAndBlunt.esp</x:v>
      </x:c>
      <x:c r="C91" s="38" t="str">
        <x:v>Mod Incoming Spell Duration | Multiply Value | float</x:v>
      </x:c>
      <x:c r="D91" s="37" t="str">
        <x:v>3</x:v>
      </x:c>
      <x:c r="E91" s="38" t="str">
        <x:v>0.800000011920929..2.0</x:v>
      </x:c>
      <x:c r="F91" s="38" t="str">
        <x:v>0.8999999761581421</x:v>
      </x:c>
      <x:c r="G91" s="37" t="str">
        <x:v>descriptive_frequency</x:v>
      </x:c>
      <x:c r="H91" s="37" t="str">
        <x:v>observed_pattern</x:v>
      </x:c>
      <x:c r="I91" s="37" t="str">
        <x:v>False</x:v>
      </x:c>
    </x:row>
    <x:row r="92">
      <x:c r="A92" s="37" t="str">
        <x:v>perk_entry_point</x:v>
      </x:c>
      <x:c r="B92" s="37" t="str">
        <x:v>BladeAndBlunt.esp</x:v>
      </x:c>
      <x:c r="C92" s="38" t="str">
        <x:v>Mod Incoming Spell Magnitude | Add Value | float</x:v>
      </x:c>
      <x:c r="D92" s="37" t="str">
        <x:v>31</x:v>
      </x:c>
      <x:c r="E92" s="38" t="str">
        <x:v>-0.5..8.0</x:v>
      </x:c>
      <x:c r="F92" s="38" t="str">
        <x:v>1.5</x:v>
      </x:c>
      <x:c r="G92" s="37" t="str">
        <x:v>descriptive_frequency</x:v>
      </x:c>
      <x:c r="H92" s="37" t="str">
        <x:v>observed_pattern</x:v>
      </x:c>
      <x:c r="I92" s="37" t="str">
        <x:v>False</x:v>
      </x:c>
    </x:row>
    <x:row r="93">
      <x:c r="A93" s="37" t="str">
        <x:v>perk_entry_point</x:v>
      </x:c>
      <x:c r="B93" s="37" t="str">
        <x:v>BladeAndBlunt.esp</x:v>
      </x:c>
      <x:c r="C93" s="38" t="str">
        <x:v>Mod Incoming Spell Magnitude | Multiply Value | float</x:v>
      </x:c>
      <x:c r="D93" s="37" t="str">
        <x:v>39</x:v>
      </x:c>
      <x:c r="E93" s="38" t="str">
        <x:v>0.0..3.0</x:v>
      </x:c>
      <x:c r="F93" s="38" t="str">
        <x:v>0.6899999976158142</x:v>
      </x:c>
      <x:c r="G93" s="37" t="str">
        <x:v>descriptive_frequency</x:v>
      </x:c>
      <x:c r="H93" s="37" t="str">
        <x:v>observed_pattern</x:v>
      </x:c>
      <x:c r="I93" s="37" t="str">
        <x:v>False</x:v>
      </x:c>
    </x:row>
    <x:row r="94">
      <x:c r="A94" s="37" t="str">
        <x:v>perk_entry_point</x:v>
      </x:c>
      <x:c r="B94" s="37" t="str">
        <x:v>BladeAndBlunt.esp</x:v>
      </x:c>
      <x:c r="C94" s="38" t="str">
        <x:v>Mod Incoming Stagger | Multiply Value | float</x:v>
      </x:c>
      <x:c r="D94" s="37" t="str">
        <x:v>3</x:v>
      </x:c>
      <x:c r="E94" s="38" t="str">
        <x:v>0.0..0.5</x:v>
      </x:c>
      <x:c r="F94" s="38" t="str">
        <x:v>0.5</x:v>
      </x:c>
      <x:c r="G94" s="37" t="str">
        <x:v>descriptive_frequency</x:v>
      </x:c>
      <x:c r="H94" s="37" t="str">
        <x:v>observed_pattern</x:v>
      </x:c>
      <x:c r="I94" s="37" t="str">
        <x:v>False</x:v>
      </x:c>
    </x:row>
    <x:row r="95">
      <x:c r="A95" s="37" t="str">
        <x:v>perk_entry_point</x:v>
      </x:c>
      <x:c r="B95" s="37" t="str">
        <x:v>BladeAndBlunt.esp</x:v>
      </x:c>
      <x:c r="C95" s="38" t="str">
        <x:v>Mod Percent Blocked | Multiply Value | float</x:v>
      </x:c>
      <x:c r="D95" s="37" t="str">
        <x:v>6</x:v>
      </x:c>
      <x:c r="E95" s="38" t="str">
        <x:v>0.25..2.0</x:v>
      </x:c>
      <x:c r="F95" s="38" t="str">
        <x:v>0.875</x:v>
      </x:c>
      <x:c r="G95" s="37" t="str">
        <x:v>descriptive_frequency</x:v>
      </x:c>
      <x:c r="H95" s="37" t="str">
        <x:v>observed_pattern</x:v>
      </x:c>
      <x:c r="I95" s="37" t="str">
        <x:v>False</x:v>
      </x:c>
    </x:row>
    <x:row r="96">
      <x:c r="A96" s="37" t="str">
        <x:v>perk_entry_point</x:v>
      </x:c>
      <x:c r="B96" s="37" t="str">
        <x:v>BladeAndBlunt.esp</x:v>
      </x:c>
      <x:c r="C96" s="38" t="str">
        <x:v>Mod Power Attack Stamina | Multiply Value | float</x:v>
      </x:c>
      <x:c r="D96" s="37" t="str">
        <x:v>10</x:v>
      </x:c>
      <x:c r="E96" s="38" t="str">
        <x:v>0.6650000214576721..1.3300000429153442</x:v>
      </x:c>
      <x:c r="F96" s="38" t="str">
        <x:v>1.0</x:v>
      </x:c>
      <x:c r="G96" s="37" t="str">
        <x:v>descriptive_frequency</x:v>
      </x:c>
      <x:c r="H96" s="37" t="str">
        <x:v>observed_pattern</x:v>
      </x:c>
      <x:c r="I96" s="37" t="str">
        <x:v>False</x:v>
      </x:c>
    </x:row>
    <x:row r="97">
      <x:c r="A97" s="37" t="str">
        <x:v>perk_entry_point</x:v>
      </x:c>
      <x:c r="B97" s="37" t="str">
        <x:v>BladeAndBlunt.esp</x:v>
      </x:c>
      <x:c r="C97" s="38" t="str">
        <x:v>Mod Power Attack Stamina | Set Value | float</x:v>
      </x:c>
      <x:c r="D97" s="37" t="str">
        <x:v>5</x:v>
      </x:c>
      <x:c r="E97" s="38" t="str">
        <x:v>2.5..74.94999694824219</x:v>
      </x:c>
      <x:c r="F97" s="38" t="str">
        <x:v>39.95000076293945</x:v>
      </x:c>
      <x:c r="G97" s="37" t="str">
        <x:v>descriptive_frequency</x:v>
      </x:c>
      <x:c r="H97" s="37" t="str">
        <x:v>observed_pattern</x:v>
      </x:c>
      <x:c r="I97" s="37" t="str">
        <x:v>False</x:v>
      </x:c>
    </x:row>
    <x:row r="98">
      <x:c r="A98" s="37" t="str">
        <x:v>perk_entry_point</x:v>
      </x:c>
      <x:c r="B98" s="37" t="str">
        <x:v>BladeAndBlunt.esp</x:v>
      </x:c>
      <x:c r="C98" s="38" t="str">
        <x:v>Mod Secondary Value Weight | Multiply Value | float</x:v>
      </x:c>
      <x:c r="D98" s="37" t="str">
        <x:v>6</x:v>
      </x:c>
      <x:c r="E98" s="38" t="str">
        <x:v>0.25..0.75</x:v>
      </x:c>
      <x:c r="F98" s="38" t="str">
        <x:v>0.5</x:v>
      </x:c>
      <x:c r="G98" s="37" t="str">
        <x:v>descriptive_frequency</x:v>
      </x:c>
      <x:c r="H98" s="37" t="str">
        <x:v>observed_pattern</x:v>
      </x:c>
      <x:c r="I98" s="37" t="str">
        <x:v>False</x:v>
      </x:c>
    </x:row>
    <x:row r="99">
      <x:c r="A99" s="37" t="str">
        <x:v>perk_entry_point</x:v>
      </x:c>
      <x:c r="B99" s="37" t="str">
        <x:v>BladeAndBlunt.esp</x:v>
      </x:c>
      <x:c r="C99" s="38" t="str">
        <x:v>Mod Spell Cost | Multiply Value | float</x:v>
      </x:c>
      <x:c r="D99" s="37" t="str">
        <x:v>4</x:v>
      </x:c>
      <x:c r="E99" s="38" t="str">
        <x:v>0.800000011920929..1.2000000476837158</x:v>
      </x:c>
      <x:c r="F99" s="38" t="str">
        <x:v>1.0</x:v>
      </x:c>
      <x:c r="G99" s="37" t="str">
        <x:v>descriptive_frequency</x:v>
      </x:c>
      <x:c r="H99" s="37" t="str">
        <x:v>observed_pattern</x:v>
      </x:c>
      <x:c r="I99" s="37" t="str">
        <x:v>False</x:v>
      </x:c>
    </x:row>
    <x:row r="100">
      <x:c r="A100" s="37" t="str">
        <x:v>perk_entry_point</x:v>
      </x:c>
      <x:c r="B100" s="37" t="str">
        <x:v>BladeAndBlunt.esp</x:v>
      </x:c>
      <x:c r="C100" s="38" t="str">
        <x:v>Mod Spell Duration | Add Value | float</x:v>
      </x:c>
      <x:c r="D100" s="37" t="str">
        <x:v>5</x:v>
      </x:c>
      <x:c r="E100" s="38" t="str">
        <x:v>0.5..0.5</x:v>
      </x:c>
      <x:c r="F100" s="38" t="str">
        <x:v>0.5</x:v>
      </x:c>
      <x:c r="G100" s="37" t="str">
        <x:v>descriptive_frequency</x:v>
      </x:c>
      <x:c r="H100" s="37" t="str">
        <x:v>observed_pattern</x:v>
      </x:c>
      <x:c r="I100" s="37" t="str">
        <x:v>False</x:v>
      </x:c>
    </x:row>
    <x:row r="101">
      <x:c r="A101" s="37" t="str">
        <x:v>perk_entry_point</x:v>
      </x:c>
      <x:c r="B101" s="37" t="str">
        <x:v>BladeAndBlunt.esp</x:v>
      </x:c>
      <x:c r="C101" s="38" t="str">
        <x:v>Mod Spell Magnitude | Add Value | float</x:v>
      </x:c>
      <x:c r="D101" s="37" t="str">
        <x:v>5</x:v>
      </x:c>
      <x:c r="E101" s="38" t="str">
        <x:v>0.25..0.25</x:v>
      </x:c>
      <x:c r="F101" s="38" t="str">
        <x:v>0.25</x:v>
      </x:c>
      <x:c r="G101" s="37" t="str">
        <x:v>descriptive_frequency</x:v>
      </x:c>
      <x:c r="H101" s="37" t="str">
        <x:v>observed_pattern</x:v>
      </x:c>
      <x:c r="I101" s="37" t="str">
        <x:v>False</x:v>
      </x:c>
    </x:row>
    <x:row r="102">
      <x:c r="A102" s="37" t="str">
        <x:v>perk_entry_point</x:v>
      </x:c>
      <x:c r="B102" s="37" t="str">
        <x:v>BladeAndBlunt.esp</x:v>
      </x:c>
      <x:c r="C102" s="38" t="str">
        <x:v>Mod Spell Magnitude | Multiply Value | float</x:v>
      </x:c>
      <x:c r="D102" s="37" t="str">
        <x:v>17</x:v>
      </x:c>
      <x:c r="E102" s="38" t="str">
        <x:v>1.3300000429153442..2.0</x:v>
      </x:c>
      <x:c r="F102" s="38" t="str">
        <x:v>1.5</x:v>
      </x:c>
      <x:c r="G102" s="37" t="str">
        <x:v>descriptive_frequency</x:v>
      </x:c>
      <x:c r="H102" s="37" t="str">
        <x:v>observed_pattern</x:v>
      </x:c>
      <x:c r="I102" s="37" t="str">
        <x:v>False</x:v>
      </x:c>
    </x:row>
    <x:row r="103">
      <x:c r="A103" s="37" t="str">
        <x:v>perk_entry_point</x:v>
      </x:c>
      <x:c r="B103" s="37" t="str">
        <x:v>HandtoHand.esp</x:v>
      </x:c>
      <x:c r="C103" s="38" t="str">
        <x:v>Apply Combat Hit Spell | Select Spell | spell</x:v>
      </x:c>
      <x:c r="D103" s="37" t="str">
        <x:v>6</x:v>
      </x:c>
      <x:c r="E103" s="38" t="str"/>
      <x:c r="F103" s="38" t="str"/>
      <x:c r="G103" s="37" t="str">
        <x:v>descriptive_frequency</x:v>
      </x:c>
      <x:c r="H103" s="37" t="str">
        <x:v>observed_pattern</x:v>
      </x:c>
      <x:c r="I103" s="37" t="str">
        <x:v>False</x:v>
      </x:c>
    </x:row>
    <x:row r="104">
      <x:c r="A104" s="37" t="str">
        <x:v>perk_entry_point</x:v>
      </x:c>
      <x:c r="B104" s="37" t="str">
        <x:v>HandtoHand.esp</x:v>
      </x:c>
      <x:c r="C104" s="38" t="str">
        <x:v>Mod Incoming Spell Magnitude | Multiply Value | float</x:v>
      </x:c>
      <x:c r="D104" s="37" t="str">
        <x:v>4</x:v>
      </x:c>
      <x:c r="E104" s="38" t="str">
        <x:v>0.800000011920929..0.8999999761581421</x:v>
      </x:c>
      <x:c r="F104" s="38" t="str">
        <x:v>0.8499999940395355</x:v>
      </x:c>
      <x:c r="G104" s="37" t="str">
        <x:v>descriptive_frequency</x:v>
      </x:c>
      <x:c r="H104" s="37" t="str">
        <x:v>observed_pattern</x:v>
      </x:c>
      <x:c r="I104" s="37" t="str">
        <x:v>False</x:v>
      </x:c>
    </x:row>
    <x:row r="105">
      <x:c r="A105" s="37" t="str">
        <x:v>perk_entry_point</x:v>
      </x:c>
      <x:c r="B105" s="37" t="str">
        <x:v>HandtoHand.esp</x:v>
      </x:c>
      <x:c r="C105" s="38" t="str">
        <x:v>Mod Lockpick Sweet Spot | Multiply 1 + Actor Value Mult | actor_value_float</x:v>
      </x:c>
      <x:c r="D105" s="37" t="str">
        <x:v>6</x:v>
      </x:c>
      <x:c r="E105" s="38" t="str">
        <x:v>0.004999999888241291..0.009999999776482582</x:v>
      </x:c>
      <x:c r="F105" s="38" t="str">
        <x:v>0.009999999776482582</x:v>
      </x:c>
      <x:c r="G105" s="37" t="str">
        <x:v>descriptive_frequency</x:v>
      </x:c>
      <x:c r="H105" s="37" t="str">
        <x:v>observed_pattern</x:v>
      </x:c>
      <x:c r="I105" s="37" t="str">
        <x:v>False</x:v>
      </x:c>
    </x:row>
    <x:row r="106">
      <x:c r="A106" s="37" t="str">
        <x:v>perk_entry_point</x:v>
      </x:c>
      <x:c r="B106" s="37" t="str">
        <x:v>HandtoHand.esp</x:v>
      </x:c>
      <x:c r="C106" s="38" t="str">
        <x:v>Mod Lockpick Sweet Spot | Multiply Value | float</x:v>
      </x:c>
      <x:c r="D106" s="37" t="str">
        <x:v>4</x:v>
      </x:c>
      <x:c r="E106" s="38" t="str">
        <x:v>0.10000000149011612..0.5</x:v>
      </x:c>
      <x:c r="F106" s="38" t="str">
        <x:v>0.375</x:v>
      </x:c>
      <x:c r="G106" s="37" t="str">
        <x:v>descriptive_frequency</x:v>
      </x:c>
      <x:c r="H106" s="37" t="str">
        <x:v>observed_pattern</x:v>
      </x:c>
      <x:c r="I106" s="37" t="str">
        <x:v>False</x:v>
      </x:c>
    </x:row>
    <x:row r="107">
      <x:c r="A107" s="37" t="str">
        <x:v>perk_entry_point</x:v>
      </x:c>
      <x:c r="B107" s="37" t="str">
        <x:v>HandtoHand.esp</x:v>
      </x:c>
      <x:c r="C107" s="38" t="str">
        <x:v>Mod Pickpocket Chance | Add Value | float</x:v>
      </x:c>
      <x:c r="D107" s="37" t="str">
        <x:v>3</x:v>
      </x:c>
      <x:c r="E107" s="38" t="str">
        <x:v>25.0..50.0</x:v>
      </x:c>
      <x:c r="F107" s="38" t="str">
        <x:v>50.0</x:v>
      </x:c>
      <x:c r="G107" s="37" t="str">
        <x:v>descriptive_frequency</x:v>
      </x:c>
      <x:c r="H107" s="37" t="str">
        <x:v>observed_pattern</x:v>
      </x:c>
      <x:c r="I107" s="37" t="str">
        <x:v>False</x:v>
      </x:c>
    </x:row>
    <x:row r="108">
      <x:c r="A108" s="37" t="str">
        <x:v>perk_entry_point</x:v>
      </x:c>
      <x:c r="B108" s="37" t="str">
        <x:v>HandtoHand.esp</x:v>
      </x:c>
      <x:c r="C108" s="38" t="str">
        <x:v>Mod Power Attack Damage | Multiply Value | float</x:v>
      </x:c>
      <x:c r="D108" s="37" t="str">
        <x:v>7</x:v>
      </x:c>
      <x:c r="E108" s="38" t="str">
        <x:v>1.100000023841858..1.5</x:v>
      </x:c>
      <x:c r="F108" s="38" t="str">
        <x:v>1.3300000429153442</x:v>
      </x:c>
      <x:c r="G108" s="37" t="str">
        <x:v>descriptive_frequency</x:v>
      </x:c>
      <x:c r="H108" s="37" t="str">
        <x:v>observed_pattern</x:v>
      </x:c>
      <x:c r="I108" s="37" t="str">
        <x:v>False</x:v>
      </x:c>
    </x:row>
    <x:row r="109">
      <x:c r="A109" s="37" t="str">
        <x:v>perk_entry_point</x:v>
      </x:c>
      <x:c r="B109" s="37" t="str">
        <x:v>HandtoHand.esp</x:v>
      </x:c>
      <x:c r="C109" s="38" t="str">
        <x:v>Mod Spell Duration | Multiply Value | float</x:v>
      </x:c>
      <x:c r="D109" s="37" t="str">
        <x:v>3</x:v>
      </x:c>
      <x:c r="E109" s="38" t="str">
        <x:v>0.5..3.0</x:v>
      </x:c>
      <x:c r="F109" s="38" t="str">
        <x:v>2.0</x:v>
      </x:c>
      <x:c r="G109" s="37" t="str">
        <x:v>descriptive_frequency</x:v>
      </x:c>
      <x:c r="H109" s="37" t="str">
        <x:v>observed_pattern</x:v>
      </x:c>
      <x:c r="I109" s="37" t="str">
        <x:v>False</x:v>
      </x:c>
    </x:row>
    <x:row r="110">
      <x:c r="A110" s="37" t="str">
        <x:v>perk_entry_point</x:v>
      </x:c>
      <x:c r="B110" s="37" t="str">
        <x:v>HandtoHand.esp</x:v>
      </x:c>
      <x:c r="C110" s="38" t="str">
        <x:v>Mod Spell Magnitude | Multiply Value | float</x:v>
      </x:c>
      <x:c r="D110" s="37" t="str">
        <x:v>14</x:v>
      </x:c>
      <x:c r="E110" s="38" t="str">
        <x:v>1.1299999952316284..2.0</x:v>
      </x:c>
      <x:c r="F110" s="38" t="str">
        <x:v>1.6899999976158142</x:v>
      </x:c>
      <x:c r="G110" s="37" t="str">
        <x:v>descriptive_frequency</x:v>
      </x:c>
      <x:c r="H110" s="37" t="str">
        <x:v>observed_pattern</x:v>
      </x:c>
      <x:c r="I110" s="37" t="str">
        <x:v>False</x:v>
      </x:c>
    </x:row>
    <x:row r="111">
      <x:c r="A111" s="37" t="str">
        <x:v>perk_entry_point</x:v>
      </x:c>
      <x:c r="B111" s="37" t="str">
        <x:v>MysticismMagic.esp</x:v>
      </x:c>
      <x:c r="C111" s="38" t="str">
        <x:v>Activate | Add Activate Choice | </x:v>
      </x:c>
      <x:c r="D111" s="37" t="str">
        <x:v>5</x:v>
      </x:c>
      <x:c r="E111" s="38" t="str"/>
      <x:c r="F111" s="38" t="str"/>
      <x:c r="G111" s="37" t="str">
        <x:v>descriptive_frequency</x:v>
      </x:c>
      <x:c r="H111" s="37" t="str">
        <x:v>observed_pattern</x:v>
      </x:c>
      <x:c r="I111" s="37" t="str">
        <x:v>False</x:v>
      </x:c>
    </x:row>
    <x:row r="112">
      <x:c r="A112" s="37" t="str">
        <x:v>perk_entry_point</x:v>
      </x:c>
      <x:c r="B112" s="37" t="str">
        <x:v>MysticismMagic.esp</x:v>
      </x:c>
      <x:c r="C112" s="38" t="str">
        <x:v>Mod Attack Damage | Multiply Value | float</x:v>
      </x:c>
      <x:c r="D112" s="37" t="str">
        <x:v>5</x:v>
      </x:c>
      <x:c r="E112" s="38" t="str">
        <x:v>0.0..1.5</x:v>
      </x:c>
      <x:c r="F112" s="38" t="str">
        <x:v>0.75</x:v>
      </x:c>
      <x:c r="G112" s="37" t="str">
        <x:v>descriptive_frequency</x:v>
      </x:c>
      <x:c r="H112" s="37" t="str">
        <x:v>observed_pattern</x:v>
      </x:c>
      <x:c r="I112" s="37" t="str">
        <x:v>False</x:v>
      </x:c>
    </x:row>
    <x:row r="113">
      <x:c r="A113" s="37" t="str">
        <x:v>perk_entry_point</x:v>
      </x:c>
      <x:c r="B113" s="37" t="str">
        <x:v>MysticismMagic.esp</x:v>
      </x:c>
      <x:c r="C113" s="38" t="str">
        <x:v>Mod Spell Magnitude | Multiply Value | float</x:v>
      </x:c>
      <x:c r="D113" s="37" t="str">
        <x:v>4</x:v>
      </x:c>
      <x:c r="E113" s="38" t="str">
        <x:v>1.25..2.0</x:v>
      </x:c>
      <x:c r="F113" s="38" t="str">
        <x:v>1.5</x:v>
      </x:c>
      <x:c r="G113" s="37" t="str">
        <x:v>descriptive_frequency</x:v>
      </x:c>
      <x:c r="H113" s="37" t="str">
        <x:v>observed_pattern</x:v>
      </x:c>
      <x:c r="I113" s="37" t="str">
        <x:v>False</x:v>
      </x:c>
    </x:row>
    <x:row r="114">
      <x:c r="A114" s="37" t="str">
        <x:v>spell_numeric</x:v>
      </x:c>
      <x:c r="B114" s="37" t="str">
        <x:v>Adamant.esp</x:v>
      </x:c>
      <x:c r="C114" s="38" t="str">
        <x:v> | skill  | Constant Effect | Self | </x:v>
      </x:c>
      <x:c r="D114" s="37" t="str">
        <x:v>7</x:v>
      </x:c>
      <x:c r="E114" s="38" t="str">
        <x:v>cost 0.0..369.0</x:v>
      </x:c>
      <x:c r="F114" s="38" t="str">
        <x:v>0.0</x:v>
      </x:c>
      <x:c r="G114" s="37" t="str">
        <x:v>descriptive_frequency</x:v>
      </x:c>
      <x:c r="H114" s="37" t="str">
        <x:v>observed_pattern</x:v>
      </x:c>
      <x:c r="I114" s="37" t="str">
        <x:v>False</x:v>
      </x:c>
    </x:row>
    <x:row r="115">
      <x:c r="A115" s="37" t="str">
        <x:v>spell_numeric</x:v>
      </x:c>
      <x:c r="B115" s="37" t="str">
        <x:v>Adamant.esp</x:v>
      </x:c>
      <x:c r="C115" s="38" t="str">
        <x:v> | skill  | Fire and Forget | Target Actor | </x:v>
      </x:c>
      <x:c r="D115" s="37" t="str">
        <x:v>7</x:v>
      </x:c>
      <x:c r="E115" s="38" t="str">
        <x:v>cost 103.0..368.0</x:v>
      </x:c>
      <x:c r="F115" s="38" t="str">
        <x:v>210.0</x:v>
      </x:c>
      <x:c r="G115" s="37" t="str">
        <x:v>descriptive_frequency</x:v>
      </x:c>
      <x:c r="H115" s="37" t="str">
        <x:v>observed_pattern</x:v>
      </x:c>
      <x:c r="I115" s="37" t="str">
        <x:v>False</x:v>
      </x:c>
    </x:row>
    <x:row r="116">
      <x:c r="A116" s="37" t="str">
        <x:v>spell_numeric</x:v>
      </x:c>
      <x:c r="B116" s="37" t="str">
        <x:v>Adamant.esp</x:v>
      </x:c>
      <x:c r="C116" s="38" t="str">
        <x:v>Alteration | skill 100 | Fire and Forget | Self | Peak Value Modifier</x:v>
      </x:c>
      <x:c r="D116" s="37" t="str">
        <x:v>5</x:v>
      </x:c>
      <x:c r="E116" s="38" t="str">
        <x:v>cost 628.0..645.0</x:v>
      </x:c>
      <x:c r="F116" s="38" t="str">
        <x:v>634.0</x:v>
      </x:c>
      <x:c r="G116" s="37" t="str">
        <x:v>descriptive_frequency</x:v>
      </x:c>
      <x:c r="H116" s="37" t="str">
        <x:v>observed_pattern</x:v>
      </x:c>
      <x:c r="I116" s="37" t="str">
        <x:v>False</x:v>
      </x:c>
    </x:row>
    <x:row r="117">
      <x:c r="A117" s="37" t="str">
        <x:v>spell_numeric</x:v>
      </x:c>
      <x:c r="B117" s="37" t="str">
        <x:v>Adamant.esp</x:v>
      </x:c>
      <x:c r="C117" s="38" t="str">
        <x:v>Alteration | skill 50 | Fire and Forget | Self | Peak Value Modifier</x:v>
      </x:c>
      <x:c r="D117" s="37" t="str">
        <x:v>6</x:v>
      </x:c>
      <x:c r="E117" s="38" t="str">
        <x:v>cost 255.0..278.0</x:v>
      </x:c>
      <x:c r="F117" s="38" t="str">
        <x:v>260.5</x:v>
      </x:c>
      <x:c r="G117" s="37" t="str">
        <x:v>descriptive_frequency</x:v>
      </x:c>
      <x:c r="H117" s="37" t="str">
        <x:v>observed_pattern</x:v>
      </x:c>
      <x:c r="I117" s="37" t="str">
        <x:v>False</x:v>
      </x:c>
    </x:row>
    <x:row r="118">
      <x:c r="A118" s="37" t="str">
        <x:v>spell_numeric</x:v>
      </x:c>
      <x:c r="B118" s="37" t="str">
        <x:v>Adamant.esp</x:v>
      </x:c>
      <x:c r="C118" s="38" t="str">
        <x:v>Conjuration | skill 100 | Fire and Forget | Target Location | Summon Creature</x:v>
      </x:c>
      <x:c r="D118" s="37" t="str">
        <x:v>3</x:v>
      </x:c>
      <x:c r="E118" s="38" t="str">
        <x:v>cost 612.0..632.0</x:v>
      </x:c>
      <x:c r="F118" s="38" t="str">
        <x:v>625.0</x:v>
      </x:c>
      <x:c r="G118" s="37" t="str">
        <x:v>descriptive_frequency</x:v>
      </x:c>
      <x:c r="H118" s="37" t="str">
        <x:v>observed_pattern</x:v>
      </x:c>
      <x:c r="I118" s="37" t="str">
        <x:v>False</x:v>
      </x:c>
    </x:row>
    <x:row r="119">
      <x:c r="A119" s="37" t="str">
        <x:v>spell_numeric</x:v>
      </x:c>
      <x:c r="B119" s="37" t="str">
        <x:v>Adamant.esp</x:v>
      </x:c>
      <x:c r="C119" s="38" t="str">
        <x:v>Conjuration | skill 25 | Fire and Forget | Self | Bound Weapon</x:v>
      </x:c>
      <x:c r="D119" s="37" t="str">
        <x:v>7</x:v>
      </x:c>
      <x:c r="E119" s="38" t="str">
        <x:v>cost 135.0..190.0</x:v>
      </x:c>
      <x:c r="F119" s="38" t="str">
        <x:v>182.0</x:v>
      </x:c>
      <x:c r="G119" s="37" t="str">
        <x:v>descriptive_frequency</x:v>
      </x:c>
      <x:c r="H119" s="37" t="str">
        <x:v>observed_pattern</x:v>
      </x:c>
      <x:c r="I119" s="37" t="str">
        <x:v>False</x:v>
      </x:c>
    </x:row>
    <x:row r="120">
      <x:c r="A120" s="37" t="str">
        <x:v>spell_numeric</x:v>
      </x:c>
      <x:c r="B120" s="37" t="str">
        <x:v>Adamant.esp</x:v>
      </x:c>
      <x:c r="C120" s="38" t="str">
        <x:v>Conjuration | skill 25 | Fire and Forget | Target Location | Summon Creature</x:v>
      </x:c>
      <x:c r="D120" s="37" t="str">
        <x:v>3</x:v>
      </x:c>
      <x:c r="E120" s="38" t="str">
        <x:v>cost 150.0..150.0</x:v>
      </x:c>
      <x:c r="F120" s="38" t="str">
        <x:v>150.0</x:v>
      </x:c>
      <x:c r="G120" s="37" t="str">
        <x:v>descriptive_frequency</x:v>
      </x:c>
      <x:c r="H120" s="37" t="str">
        <x:v>observed_pattern</x:v>
      </x:c>
      <x:c r="I120" s="37" t="str">
        <x:v>False</x:v>
      </x:c>
    </x:row>
    <x:row r="121">
      <x:c r="A121" s="37" t="str">
        <x:v>spell_numeric</x:v>
      </x:c>
      <x:c r="B121" s="37" t="str">
        <x:v>Adamant.esp</x:v>
      </x:c>
      <x:c r="C121" s="38" t="str">
        <x:v>Conjuration | skill 50 | Fire and Forget | Target Location | Summon Creature</x:v>
      </x:c>
      <x:c r="D121" s="37" t="str">
        <x:v>3</x:v>
      </x:c>
      <x:c r="E121" s="38" t="str">
        <x:v>cost 260.0..260.0</x:v>
      </x:c>
      <x:c r="F121" s="38" t="str">
        <x:v>260.0</x:v>
      </x:c>
      <x:c r="G121" s="37" t="str">
        <x:v>descriptive_frequency</x:v>
      </x:c>
      <x:c r="H121" s="37" t="str">
        <x:v>observed_pattern</x:v>
      </x:c>
      <x:c r="I121" s="37" t="str">
        <x:v>False</x:v>
      </x:c>
    </x:row>
    <x:row r="122">
      <x:c r="A122" s="37" t="str">
        <x:v>spell_numeric</x:v>
      </x:c>
      <x:c r="B122" s="37" t="str">
        <x:v>Adamant.esp</x:v>
      </x:c>
      <x:c r="C122" s="38" t="str">
        <x:v>Conjuration | skill 75 | Fire and Forget | Target Location | Summon Creature</x:v>
      </x:c>
      <x:c r="D122" s="37" t="str">
        <x:v>3</x:v>
      </x:c>
      <x:c r="E122" s="38" t="str">
        <x:v>cost 383.0..383.0</x:v>
      </x:c>
      <x:c r="F122" s="38" t="str">
        <x:v>383.0</x:v>
      </x:c>
      <x:c r="G122" s="37" t="str">
        <x:v>descriptive_frequency</x:v>
      </x:c>
      <x:c r="H122" s="37" t="str">
        <x:v>observed_pattern</x:v>
      </x:c>
      <x:c r="I122" s="37" t="str">
        <x:v>False</x:v>
      </x:c>
    </x:row>
    <x:row r="123">
      <x:c r="A123" s="37" t="str">
        <x:v>spell_numeric</x:v>
      </x:c>
      <x:c r="B123" s="37" t="str">
        <x:v>Adamant.esp</x:v>
      </x:c>
      <x:c r="C123" s="38" t="str">
        <x:v>Destruction | skill 0 | Concentration | Aimed | Dual Value Modifier</x:v>
      </x:c>
      <x:c r="D123" s="37" t="str">
        <x:v>4</x:v>
      </x:c>
      <x:c r="E123" s="38" t="str">
        <x:v>cost 16.0..22.0</x:v>
      </x:c>
      <x:c r="F123" s="38" t="str">
        <x:v>19.5</x:v>
      </x:c>
      <x:c r="G123" s="37" t="str">
        <x:v>descriptive_frequency</x:v>
      </x:c>
      <x:c r="H123" s="37" t="str">
        <x:v>observed_pattern</x:v>
      </x:c>
      <x:c r="I123" s="37" t="str">
        <x:v>False</x:v>
      </x:c>
    </x:row>
    <x:row r="124">
      <x:c r="A124" s="37" t="str">
        <x:v>spell_numeric</x:v>
      </x:c>
      <x:c r="B124" s="37" t="str">
        <x:v>Adamant.esp</x:v>
      </x:c>
      <x:c r="C124" s="38" t="str">
        <x:v>Destruction | skill 0 | Fire and Forget | Target Actor | Script</x:v>
      </x:c>
      <x:c r="D124" s="37" t="str">
        <x:v>4</x:v>
      </x:c>
      <x:c r="E124" s="38" t="str">
        <x:v>cost 0.0..0.0</x:v>
      </x:c>
      <x:c r="F124" s="38" t="str">
        <x:v>0.0</x:v>
      </x:c>
      <x:c r="G124" s="37" t="str">
        <x:v>descriptive_frequency</x:v>
      </x:c>
      <x:c r="H124" s="37" t="str">
        <x:v>observed_pattern</x:v>
      </x:c>
      <x:c r="I124" s="37" t="str">
        <x:v>False</x:v>
      </x:c>
    </x:row>
    <x:row r="125">
      <x:c r="A125" s="37" t="str">
        <x:v>spell_numeric</x:v>
      </x:c>
      <x:c r="B125" s="37" t="str">
        <x:v>Adamant.esp</x:v>
      </x:c>
      <x:c r="C125" s="38" t="str">
        <x:v>Destruction | skill 0 | Fire and Forget | Target Actor | Value Modifier</x:v>
      </x:c>
      <x:c r="D125" s="37" t="str">
        <x:v>4</x:v>
      </x:c>
      <x:c r="E125" s="38" t="str">
        <x:v>cost 0.0..0.0</x:v>
      </x:c>
      <x:c r="F125" s="38" t="str">
        <x:v>0.0</x:v>
      </x:c>
      <x:c r="G125" s="37" t="str">
        <x:v>descriptive_frequency</x:v>
      </x:c>
      <x:c r="H125" s="37" t="str">
        <x:v>observed_pattern</x:v>
      </x:c>
      <x:c r="I125" s="37" t="str">
        <x:v>False</x:v>
      </x:c>
    </x:row>
    <x:row r="126">
      <x:c r="A126" s="37" t="str">
        <x:v>spell_numeric</x:v>
      </x:c>
      <x:c r="B126" s="37" t="str">
        <x:v>Adamant.esp</x:v>
      </x:c>
      <x:c r="C126" s="38" t="str">
        <x:v>Destruction | skill 0 | Fire and Forget | Touch | Dual Value Modifier</x:v>
      </x:c>
      <x:c r="D126" s="37" t="str">
        <x:v>6</x:v>
      </x:c>
      <x:c r="E126" s="38" t="str">
        <x:v>cost 6.0..161.0</x:v>
      </x:c>
      <x:c r="F126" s="38" t="str">
        <x:v>44.5</x:v>
      </x:c>
      <x:c r="G126" s="37" t="str">
        <x:v>descriptive_frequency</x:v>
      </x:c>
      <x:c r="H126" s="37" t="str">
        <x:v>observed_pattern</x:v>
      </x:c>
      <x:c r="I126" s="37" t="str">
        <x:v>False</x:v>
      </x:c>
    </x:row>
    <x:row r="127">
      <x:c r="A127" s="37" t="str">
        <x:v>spell_numeric</x:v>
      </x:c>
      <x:c r="B127" s="37" t="str">
        <x:v>Adamant.esp</x:v>
      </x:c>
      <x:c r="C127" s="38" t="str">
        <x:v>Destruction | skill 0 | Fire and Forget | Touch | Value Modifier</x:v>
      </x:c>
      <x:c r="D127" s="37" t="str">
        <x:v>6</x:v>
      </x:c>
      <x:c r="E127" s="38" t="str">
        <x:v>cost 10.0..134.0</x:v>
      </x:c>
      <x:c r="F127" s="38" t="str">
        <x:v>39.0</x:v>
      </x:c>
      <x:c r="G127" s="37" t="str">
        <x:v>descriptive_frequency</x:v>
      </x:c>
      <x:c r="H127" s="37" t="str">
        <x:v>observed_pattern</x:v>
      </x:c>
      <x:c r="I127" s="37" t="str">
        <x:v>False</x:v>
      </x:c>
    </x:row>
    <x:row r="128">
      <x:c r="A128" s="37" t="str">
        <x:v>spell_numeric</x:v>
      </x:c>
      <x:c r="B128" s="37" t="str">
        <x:v>Adamant.esp</x:v>
      </x:c>
      <x:c r="C128" s="38" t="str">
        <x:v>None | skill 0 | Concentration | Aimed | Peak Value Modifier</x:v>
      </x:c>
      <x:c r="D128" s="37" t="str">
        <x:v>4</x:v>
      </x:c>
      <x:c r="E128" s="38" t="str">
        <x:v>cost 0.0..0.0</x:v>
      </x:c>
      <x:c r="F128" s="38" t="str">
        <x:v>0.0</x:v>
      </x:c>
      <x:c r="G128" s="37" t="str">
        <x:v>descriptive_frequency</x:v>
      </x:c>
      <x:c r="H128" s="37" t="str">
        <x:v>observed_pattern</x:v>
      </x:c>
      <x:c r="I128" s="37" t="str">
        <x:v>False</x:v>
      </x:c>
    </x:row>
    <x:row r="129">
      <x:c r="A129" s="37" t="str">
        <x:v>spell_numeric</x:v>
      </x:c>
      <x:c r="B129" s="37" t="str">
        <x:v>Adamant.esp</x:v>
      </x:c>
      <x:c r="C129" s="38" t="str">
        <x:v>None | skill 0 | Concentration | Aimed | Value Modifier</x:v>
      </x:c>
      <x:c r="D129" s="37" t="str">
        <x:v>7</x:v>
      </x:c>
      <x:c r="E129" s="38" t="str">
        <x:v>cost 0.0..102.0</x:v>
      </x:c>
      <x:c r="F129" s="38" t="str">
        <x:v>0.0</x:v>
      </x:c>
      <x:c r="G129" s="37" t="str">
        <x:v>descriptive_frequency</x:v>
      </x:c>
      <x:c r="H129" s="37" t="str">
        <x:v>observed_pattern</x:v>
      </x:c>
      <x:c r="I129" s="37" t="str">
        <x:v>False</x:v>
      </x:c>
    </x:row>
    <x:row r="130">
      <x:c r="A130" s="37" t="str">
        <x:v>spell_numeric</x:v>
      </x:c>
      <x:c r="B130" s="37" t="str">
        <x:v>Adamant.esp</x:v>
      </x:c>
      <x:c r="C130" s="38" t="str">
        <x:v>None | skill 0 | Constant Effect | Self | Cloak</x:v>
      </x:c>
      <x:c r="D130" s="37" t="str">
        <x:v>11</x:v>
      </x:c>
      <x:c r="E130" s="38" t="str">
        <x:v>cost 0.0..0.0</x:v>
      </x:c>
      <x:c r="F130" s="38" t="str">
        <x:v>0.0</x:v>
      </x:c>
      <x:c r="G130" s="37" t="str">
        <x:v>descriptive_frequency</x:v>
      </x:c>
      <x:c r="H130" s="37" t="str">
        <x:v>observed_pattern</x:v>
      </x:c>
      <x:c r="I130" s="37" t="str">
        <x:v>False</x:v>
      </x:c>
    </x:row>
    <x:row r="131">
      <x:c r="A131" s="37" t="str">
        <x:v>spell_numeric</x:v>
      </x:c>
      <x:c r="B131" s="37" t="str">
        <x:v>Adamant.esp</x:v>
      </x:c>
      <x:c r="C131" s="38" t="str">
        <x:v>None | skill 0 | Constant Effect | Self | Peak Value Modifier</x:v>
      </x:c>
      <x:c r="D131" s="37" t="str">
        <x:v>23</x:v>
      </x:c>
      <x:c r="E131" s="38" t="str">
        <x:v>cost 0.0..369.0</x:v>
      </x:c>
      <x:c r="F131" s="38" t="str">
        <x:v>0.0</x:v>
      </x:c>
      <x:c r="G131" s="37" t="str">
        <x:v>descriptive_frequency</x:v>
      </x:c>
      <x:c r="H131" s="37" t="str">
        <x:v>observed_pattern</x:v>
      </x:c>
      <x:c r="I131" s="37" t="str">
        <x:v>False</x:v>
      </x:c>
    </x:row>
    <x:row r="132">
      <x:c r="A132" s="37" t="str">
        <x:v>spell_numeric</x:v>
      </x:c>
      <x:c r="B132" s="37" t="str">
        <x:v>Adamant.esp</x:v>
      </x:c>
      <x:c r="C132" s="38" t="str">
        <x:v>None | skill 0 | Constant Effect | Self | Script</x:v>
      </x:c>
      <x:c r="D132" s="37" t="str">
        <x:v>58</x:v>
      </x:c>
      <x:c r="E132" s="38" t="str">
        <x:v>cost 0.0..98.0</x:v>
      </x:c>
      <x:c r="F132" s="38" t="str">
        <x:v>0.0</x:v>
      </x:c>
      <x:c r="G132" s="37" t="str">
        <x:v>descriptive_frequency</x:v>
      </x:c>
      <x:c r="H132" s="37" t="str">
        <x:v>observed_pattern</x:v>
      </x:c>
      <x:c r="I132" s="37" t="str">
        <x:v>False</x:v>
      </x:c>
    </x:row>
    <x:row r="133">
      <x:c r="A133" s="37" t="str">
        <x:v>spell_numeric</x:v>
      </x:c>
      <x:c r="B133" s="37" t="str">
        <x:v>Adamant.esp</x:v>
      </x:c>
      <x:c r="C133" s="38" t="str">
        <x:v>None | skill 0 | Constant Effect | Self | Value Modifier</x:v>
      </x:c>
      <x:c r="D133" s="37" t="str">
        <x:v>22</x:v>
      </x:c>
      <x:c r="E133" s="38" t="str">
        <x:v>cost 0.0..139.0</x:v>
      </x:c>
      <x:c r="F133" s="38" t="str">
        <x:v>0.0</x:v>
      </x:c>
      <x:c r="G133" s="37" t="str">
        <x:v>descriptive_frequency</x:v>
      </x:c>
      <x:c r="H133" s="37" t="str">
        <x:v>observed_pattern</x:v>
      </x:c>
      <x:c r="I133" s="37" t="str">
        <x:v>False</x:v>
      </x:c>
    </x:row>
    <x:row r="134">
      <x:c r="A134" s="37" t="str">
        <x:v>spell_numeric</x:v>
      </x:c>
      <x:c r="B134" s="37" t="str">
        <x:v>Adamant.esp</x:v>
      </x:c>
      <x:c r="C134" s="38" t="str">
        <x:v>None | skill 0 | Fire and Forget | Self | Peak Value Modifier</x:v>
      </x:c>
      <x:c r="D134" s="37" t="str">
        <x:v>4</x:v>
      </x:c>
      <x:c r="E134" s="38" t="str">
        <x:v>cost 0.0..0.0</x:v>
      </x:c>
      <x:c r="F134" s="38" t="str">
        <x:v>0.0</x:v>
      </x:c>
      <x:c r="G134" s="37" t="str">
        <x:v>descriptive_frequency</x:v>
      </x:c>
      <x:c r="H134" s="37" t="str">
        <x:v>observed_pattern</x:v>
      </x:c>
      <x:c r="I134" s="37" t="str">
        <x:v>False</x:v>
      </x:c>
    </x:row>
    <x:row r="135">
      <x:c r="A135" s="37" t="str">
        <x:v>spell_numeric</x:v>
      </x:c>
      <x:c r="B135" s="37" t="str">
        <x:v>Adamant.esp</x:v>
      </x:c>
      <x:c r="C135" s="38" t="str">
        <x:v>None | skill 0 | Fire and Forget | Self | Script</x:v>
      </x:c>
      <x:c r="D135" s="37" t="str">
        <x:v>25</x:v>
      </x:c>
      <x:c r="E135" s="38" t="str">
        <x:v>cost 0.0..0.0</x:v>
      </x:c>
      <x:c r="F135" s="38" t="str">
        <x:v>0.0</x:v>
      </x:c>
      <x:c r="G135" s="37" t="str">
        <x:v>descriptive_frequency</x:v>
      </x:c>
      <x:c r="H135" s="37" t="str">
        <x:v>observed_pattern</x:v>
      </x:c>
      <x:c r="I135" s="37" t="str">
        <x:v>False</x:v>
      </x:c>
    </x:row>
    <x:row r="136">
      <x:c r="A136" s="37" t="str">
        <x:v>spell_numeric</x:v>
      </x:c>
      <x:c r="B136" s="37" t="str">
        <x:v>Adamant.esp</x:v>
      </x:c>
      <x:c r="C136" s="38" t="str">
        <x:v>None | skill 0 | Fire and Forget | Self | Stagger</x:v>
      </x:c>
      <x:c r="D136" s="37" t="str">
        <x:v>5</x:v>
      </x:c>
      <x:c r="E136" s="38" t="str">
        <x:v>cost 0.0..0.0</x:v>
      </x:c>
      <x:c r="F136" s="38" t="str">
        <x:v>0.0</x:v>
      </x:c>
      <x:c r="G136" s="37" t="str">
        <x:v>descriptive_frequency</x:v>
      </x:c>
      <x:c r="H136" s="37" t="str">
        <x:v>observed_pattern</x:v>
      </x:c>
      <x:c r="I136" s="37" t="str">
        <x:v>False</x:v>
      </x:c>
    </x:row>
    <x:row r="137">
      <x:c r="A137" s="37" t="str">
        <x:v>spell_numeric</x:v>
      </x:c>
      <x:c r="B137" s="37" t="str">
        <x:v>Adamant.esp</x:v>
      </x:c>
      <x:c r="C137" s="38" t="str">
        <x:v>None | skill 0 | Fire and Forget | Self | Value Modifier</x:v>
      </x:c>
      <x:c r="D137" s="37" t="str">
        <x:v>3</x:v>
      </x:c>
      <x:c r="E137" s="38" t="str">
        <x:v>cost 0.0..0.0</x:v>
      </x:c>
      <x:c r="F137" s="38" t="str">
        <x:v>0.0</x:v>
      </x:c>
      <x:c r="G137" s="37" t="str">
        <x:v>descriptive_frequency</x:v>
      </x:c>
      <x:c r="H137" s="37" t="str">
        <x:v>observed_pattern</x:v>
      </x:c>
      <x:c r="I137" s="37" t="str">
        <x:v>False</x:v>
      </x:c>
    </x:row>
    <x:row r="138">
      <x:c r="A138" s="37" t="str">
        <x:v>spell_numeric</x:v>
      </x:c>
      <x:c r="B138" s="37" t="str">
        <x:v>Adamant.esp</x:v>
      </x:c>
      <x:c r="C138" s="38" t="str">
        <x:v>None | skill 0 | Fire and Forget | Target Actor | Peak Value Modifier</x:v>
      </x:c>
      <x:c r="D138" s="37" t="str">
        <x:v>3</x:v>
      </x:c>
      <x:c r="E138" s="38" t="str">
        <x:v>cost 0.0..0.0</x:v>
      </x:c>
      <x:c r="F138" s="38" t="str">
        <x:v>0.0</x:v>
      </x:c>
      <x:c r="G138" s="37" t="str">
        <x:v>descriptive_frequency</x:v>
      </x:c>
      <x:c r="H138" s="37" t="str">
        <x:v>observed_pattern</x:v>
      </x:c>
      <x:c r="I138" s="37" t="str">
        <x:v>False</x:v>
      </x:c>
    </x:row>
    <x:row r="139">
      <x:c r="A139" s="37" t="str">
        <x:v>spell_numeric</x:v>
      </x:c>
      <x:c r="B139" s="37" t="str">
        <x:v>Adamant.esp</x:v>
      </x:c>
      <x:c r="C139" s="38" t="str">
        <x:v>None | skill 0 | Fire and Forget | Touch | Etherealize</x:v>
      </x:c>
      <x:c r="D139" s="37" t="str">
        <x:v>3</x:v>
      </x:c>
      <x:c r="E139" s="38" t="str">
        <x:v>cost 0.0..73.0</x:v>
      </x:c>
      <x:c r="F139" s="38" t="str">
        <x:v>0.0</x:v>
      </x:c>
      <x:c r="G139" s="37" t="str">
        <x:v>descriptive_frequency</x:v>
      </x:c>
      <x:c r="H139" s="37" t="str">
        <x:v>observed_pattern</x:v>
      </x:c>
      <x:c r="I139" s="37" t="str">
        <x:v>False</x:v>
      </x:c>
    </x:row>
    <x:row r="140">
      <x:c r="A140" s="37" t="str">
        <x:v>spell_numeric</x:v>
      </x:c>
      <x:c r="B140" s="37" t="str">
        <x:v>Adamant.esp</x:v>
      </x:c>
      <x:c r="C140" s="38" t="str">
        <x:v>None | skill 0 | Fire and Forget | Touch | Peak Value Modifier</x:v>
      </x:c>
      <x:c r="D140" s="37" t="str">
        <x:v>14</x:v>
      </x:c>
      <x:c r="E140" s="38" t="str">
        <x:v>cost 0.0..0.0</x:v>
      </x:c>
      <x:c r="F140" s="38" t="str">
        <x:v>0.0</x:v>
      </x:c>
      <x:c r="G140" s="37" t="str">
        <x:v>descriptive_frequency</x:v>
      </x:c>
      <x:c r="H140" s="37" t="str">
        <x:v>observed_pattern</x:v>
      </x:c>
      <x:c r="I140" s="37" t="str">
        <x:v>False</x:v>
      </x:c>
    </x:row>
    <x:row r="141">
      <x:c r="A141" s="37" t="str">
        <x:v>spell_numeric</x:v>
      </x:c>
      <x:c r="B141" s="37" t="str">
        <x:v>Adamant.esp</x:v>
      </x:c>
      <x:c r="C141" s="38" t="str">
        <x:v>None | skill 0 | Fire and Forget | Touch | Script</x:v>
      </x:c>
      <x:c r="D141" s="37" t="str">
        <x:v>7</x:v>
      </x:c>
      <x:c r="E141" s="38" t="str">
        <x:v>cost 0.0..1.0</x:v>
      </x:c>
      <x:c r="F141" s="38" t="str">
        <x:v>0.0</x:v>
      </x:c>
      <x:c r="G141" s="37" t="str">
        <x:v>descriptive_frequency</x:v>
      </x:c>
      <x:c r="H141" s="37" t="str">
        <x:v>observed_pattern</x:v>
      </x:c>
      <x:c r="I141" s="37" t="str">
        <x:v>False</x:v>
      </x:c>
    </x:row>
    <x:row r="142">
      <x:c r="A142" s="37" t="str">
        <x:v>spell_numeric</x:v>
      </x:c>
      <x:c r="B142" s="37" t="str">
        <x:v>Adamant.esp</x:v>
      </x:c>
      <x:c r="C142" s="38" t="str">
        <x:v>None | skill 0 | Fire and Forget | Touch | Value Modifier</x:v>
      </x:c>
      <x:c r="D142" s="37" t="str">
        <x:v>18</x:v>
      </x:c>
      <x:c r="E142" s="38" t="str">
        <x:v>cost 0.0..0.0</x:v>
      </x:c>
      <x:c r="F142" s="38" t="str">
        <x:v>0.0</x:v>
      </x:c>
      <x:c r="G142" s="37" t="str">
        <x:v>descriptive_frequency</x:v>
      </x:c>
      <x:c r="H142" s="37" t="str">
        <x:v>observed_pattern</x:v>
      </x:c>
      <x:c r="I142" s="37" t="str">
        <x:v>False</x:v>
      </x:c>
    </x:row>
    <x:row r="143">
      <x:c r="A143" s="37" t="str">
        <x:v>spell_numeric</x:v>
      </x:c>
      <x:c r="B143" s="37" t="str">
        <x:v>Adamant.esp</x:v>
      </x:c>
      <x:c r="C143" s="38" t="str">
        <x:v>Restoration | skill 0 | Concentration | Aimed | Value Modifier</x:v>
      </x:c>
      <x:c r="D143" s="37" t="str">
        <x:v>4</x:v>
      </x:c>
      <x:c r="E143" s="38" t="str">
        <x:v>cost 1.0..16.0</x:v>
      </x:c>
      <x:c r="F143" s="38" t="str">
        <x:v>11.0</x:v>
      </x:c>
      <x:c r="G143" s="37" t="str">
        <x:v>descriptive_frequency</x:v>
      </x:c>
      <x:c r="H143" s="37" t="str">
        <x:v>observed_pattern</x:v>
      </x:c>
      <x:c r="I143" s="37" t="str">
        <x:v>False</x:v>
      </x:c>
    </x:row>
    <x:row r="144">
      <x:c r="A144" s="37" t="str">
        <x:v>spell_numeric</x:v>
      </x:c>
      <x:c r="B144" s="37" t="str">
        <x:v>Adamant.esp</x:v>
      </x:c>
      <x:c r="C144" s="38" t="str">
        <x:v>Restoration | skill 0 | Concentration | Self | Value Modifier</x:v>
      </x:c>
      <x:c r="D144" s="37" t="str">
        <x:v>3</x:v>
      </x:c>
      <x:c r="E144" s="38" t="str">
        <x:v>cost 16.0..25.0</x:v>
      </x:c>
      <x:c r="F144" s="38" t="str">
        <x:v>17.0</x:v>
      </x:c>
      <x:c r="G144" s="37" t="str">
        <x:v>descriptive_frequency</x:v>
      </x:c>
      <x:c r="H144" s="37" t="str">
        <x:v>observed_pattern</x:v>
      </x:c>
      <x:c r="I144" s="37" t="str">
        <x:v>False</x:v>
      </x:c>
    </x:row>
    <x:row r="145">
      <x:c r="A145" s="37" t="str">
        <x:v>spell_numeric</x:v>
      </x:c>
      <x:c r="B145" s="37" t="str">
        <x:v>Adamant.esp</x:v>
      </x:c>
      <x:c r="C145" s="38" t="str">
        <x:v>Restoration | skill 0 | Fire and Forget | Touch | Value Modifier</x:v>
      </x:c>
      <x:c r="D145" s="37" t="str">
        <x:v>4</x:v>
      </x:c>
      <x:c r="E145" s="38" t="str">
        <x:v>cost 24.0..134.0</x:v>
      </x:c>
      <x:c r="F145" s="38" t="str">
        <x:v>58.5</x:v>
      </x:c>
      <x:c r="G145" s="37" t="str">
        <x:v>descriptive_frequency</x:v>
      </x:c>
      <x:c r="H145" s="37" t="str">
        <x:v>observed_pattern</x:v>
      </x:c>
      <x:c r="I145" s="37" t="str">
        <x:v>False</x:v>
      </x:c>
    </x:row>
    <x:row r="146">
      <x:c r="A146" s="37" t="str">
        <x:v>spell_numeric</x:v>
      </x:c>
      <x:c r="B146" s="37" t="str">
        <x:v>Adamant.esp</x:v>
      </x:c>
      <x:c r="C146" s="38" t="str">
        <x:v>Restoration | skill 100 | Fire and Forget | Aimed | Value Modifier</x:v>
      </x:c>
      <x:c r="D146" s="37" t="str">
        <x:v>4</x:v>
      </x:c>
      <x:c r="E146" s="38" t="str">
        <x:v>cost 372.0..500.0</x:v>
      </x:c>
      <x:c r="F146" s="38" t="str">
        <x:v>439.0</x:v>
      </x:c>
      <x:c r="G146" s="37" t="str">
        <x:v>descriptive_frequency</x:v>
      </x:c>
      <x:c r="H146" s="37" t="str">
        <x:v>observed_pattern</x:v>
      </x:c>
      <x:c r="I146" s="37" t="str">
        <x:v>False</x:v>
      </x:c>
    </x:row>
    <x:row r="147">
      <x:c r="A147" s="37" t="str">
        <x:v>spell_numeric</x:v>
      </x:c>
      <x:c r="B147" s="37" t="str">
        <x:v>Adamant.esp</x:v>
      </x:c>
      <x:c r="C147" s="38" t="str">
        <x:v>Restoration | skill 25 | Fire and Forget | Aimed | Turn Undead</x:v>
      </x:c>
      <x:c r="D147" s="37" t="str">
        <x:v>3</x:v>
      </x:c>
      <x:c r="E147" s="38" t="str">
        <x:v>cost 138.0..138.0</x:v>
      </x:c>
      <x:c r="F147" s="38" t="str">
        <x:v>138.0</x:v>
      </x:c>
      <x:c r="G147" s="37" t="str">
        <x:v>descriptive_frequency</x:v>
      </x:c>
      <x:c r="H147" s="37" t="str">
        <x:v>observed_pattern</x:v>
      </x:c>
      <x:c r="I147" s="37" t="str">
        <x:v>False</x:v>
      </x:c>
    </x:row>
    <x:row r="148">
      <x:c r="A148" s="37" t="str">
        <x:v>spell_numeric</x:v>
      </x:c>
      <x:c r="B148" s="37" t="str">
        <x:v>Adamant.esp</x:v>
      </x:c>
      <x:c r="C148" s="38" t="str">
        <x:v>Restoration | skill 50 | Fire and Forget | Aimed | Turn Undead</x:v>
      </x:c>
      <x:c r="D148" s="37" t="str">
        <x:v>3</x:v>
      </x:c>
      <x:c r="E148" s="38" t="str">
        <x:v>cost 263.0..263.0</x:v>
      </x:c>
      <x:c r="F148" s="38" t="str">
        <x:v>263.0</x:v>
      </x:c>
      <x:c r="G148" s="37" t="str">
        <x:v>descriptive_frequency</x:v>
      </x:c>
      <x:c r="H148" s="37" t="str">
        <x:v>observed_pattern</x:v>
      </x:c>
      <x:c r="I148" s="37" t="str">
        <x:v>False</x:v>
      </x:c>
    </x:row>
    <x:row r="149">
      <x:c r="A149" s="37" t="str">
        <x:v>spell_numeric</x:v>
      </x:c>
      <x:c r="B149" s="37" t="str">
        <x:v>Adamant.esp</x:v>
      </x:c>
      <x:c r="C149" s="38" t="str">
        <x:v>Restoration | skill 50 | Fire and Forget | Aimed | Value Modifier</x:v>
      </x:c>
      <x:c r="D149" s="37" t="str">
        <x:v>4</x:v>
      </x:c>
      <x:c r="E149" s="38" t="str">
        <x:v>cost 118.0..162.0</x:v>
      </x:c>
      <x:c r="F149" s="38" t="str">
        <x:v>132.5</x:v>
      </x:c>
      <x:c r="G149" s="37" t="str">
        <x:v>descriptive_frequency</x:v>
      </x:c>
      <x:c r="H149" s="37" t="str">
        <x:v>observed_pattern</x:v>
      </x:c>
      <x:c r="I149" s="37" t="str">
        <x:v>False</x:v>
      </x:c>
    </x:row>
    <x:row r="150">
      <x:c r="A150" s="37" t="str">
        <x:v>spell_numeric</x:v>
      </x:c>
      <x:c r="B150" s="37" t="str">
        <x:v>Adamant.esp</x:v>
      </x:c>
      <x:c r="C150" s="38" t="str">
        <x:v>Restoration | skill 75 | Fire and Forget | Aimed | Value Modifier</x:v>
      </x:c>
      <x:c r="D150" s="37" t="str">
        <x:v>4</x:v>
      </x:c>
      <x:c r="E150" s="38" t="str">
        <x:v>cost 218.0..320.0</x:v>
      </x:c>
      <x:c r="F150" s="38" t="str">
        <x:v>267.0</x:v>
      </x:c>
      <x:c r="G150" s="37" t="str">
        <x:v>descriptive_frequency</x:v>
      </x:c>
      <x:c r="H150" s="37" t="str">
        <x:v>observed_pattern</x:v>
      </x:c>
      <x:c r="I150" s="37" t="str">
        <x:v>False</x:v>
      </x:c>
    </x:row>
    <x:row r="151">
      <x:c r="A151" s="37" t="str">
        <x:v>spell_numeric</x:v>
      </x:c>
      <x:c r="B151" s="37" t="str">
        <x:v>BladeAndBlunt.esp</x:v>
      </x:c>
      <x:c r="C151" s="38" t="str">
        <x:v>None | skill 0 | Constant Effect | Self | Peak Value Modifier</x:v>
      </x:c>
      <x:c r="D151" s="37" t="str">
        <x:v>17</x:v>
      </x:c>
      <x:c r="E151" s="38" t="str">
        <x:v>cost 0.0..0.0</x:v>
      </x:c>
      <x:c r="F151" s="38" t="str">
        <x:v>0.0</x:v>
      </x:c>
      <x:c r="G151" s="37" t="str">
        <x:v>descriptive_frequency</x:v>
      </x:c>
      <x:c r="H151" s="37" t="str">
        <x:v>observed_pattern</x:v>
      </x:c>
      <x:c r="I151" s="37" t="str">
        <x:v>False</x:v>
      </x:c>
    </x:row>
    <x:row r="152">
      <x:c r="A152" s="37" t="str">
        <x:v>spell_numeric</x:v>
      </x:c>
      <x:c r="B152" s="37" t="str">
        <x:v>BladeAndBlunt.esp</x:v>
      </x:c>
      <x:c r="C152" s="38" t="str">
        <x:v>None | skill 0 | Constant Effect | Self | Script</x:v>
      </x:c>
      <x:c r="D152" s="37" t="str">
        <x:v>19</x:v>
      </x:c>
      <x:c r="E152" s="38" t="str">
        <x:v>cost 0.0..0.0</x:v>
      </x:c>
      <x:c r="F152" s="38" t="str">
        <x:v>0.0</x:v>
      </x:c>
      <x:c r="G152" s="37" t="str">
        <x:v>descriptive_frequency</x:v>
      </x:c>
      <x:c r="H152" s="37" t="str">
        <x:v>observed_pattern</x:v>
      </x:c>
      <x:c r="I152" s="37" t="str">
        <x:v>False</x:v>
      </x:c>
    </x:row>
    <x:row r="153">
      <x:c r="A153" s="37" t="str">
        <x:v>spell_numeric</x:v>
      </x:c>
      <x:c r="B153" s="37" t="str">
        <x:v>BladeAndBlunt.esp</x:v>
      </x:c>
      <x:c r="C153" s="38" t="str">
        <x:v>None | skill 0 | Constant Effect | Self | Value Modifier</x:v>
      </x:c>
      <x:c r="D153" s="37" t="str">
        <x:v>4</x:v>
      </x:c>
      <x:c r="E153" s="38" t="str">
        <x:v>cost 0.0..0.0</x:v>
      </x:c>
      <x:c r="F153" s="38" t="str">
        <x:v>0.0</x:v>
      </x:c>
      <x:c r="G153" s="37" t="str">
        <x:v>descriptive_frequency</x:v>
      </x:c>
      <x:c r="H153" s="37" t="str">
        <x:v>observed_pattern</x:v>
      </x:c>
      <x:c r="I153" s="37" t="str">
        <x:v>False</x:v>
      </x:c>
    </x:row>
    <x:row r="154">
      <x:c r="A154" s="37" t="str">
        <x:v>spell_numeric</x:v>
      </x:c>
      <x:c r="B154" s="37" t="str">
        <x:v>BladeAndBlunt.esp</x:v>
      </x:c>
      <x:c r="C154" s="38" t="str">
        <x:v>None | skill 0 | Fire and Forget | Self | Peak Value Modifier</x:v>
      </x:c>
      <x:c r="D154" s="37" t="str">
        <x:v>13</x:v>
      </x:c>
      <x:c r="E154" s="38" t="str">
        <x:v>cost 0.0..0.0</x:v>
      </x:c>
      <x:c r="F154" s="38" t="str">
        <x:v>0.0</x:v>
      </x:c>
      <x:c r="G154" s="37" t="str">
        <x:v>descriptive_frequency</x:v>
      </x:c>
      <x:c r="H154" s="37" t="str">
        <x:v>observed_pattern</x:v>
      </x:c>
      <x:c r="I154" s="37" t="str">
        <x:v>False</x:v>
      </x:c>
    </x:row>
    <x:row r="155">
      <x:c r="A155" s="37" t="str">
        <x:v>spell_numeric</x:v>
      </x:c>
      <x:c r="B155" s="37" t="str">
        <x:v>BladeAndBlunt.esp</x:v>
      </x:c>
      <x:c r="C155" s="38" t="str">
        <x:v>None | skill 0 | Fire and Forget | Self | Script</x:v>
      </x:c>
      <x:c r="D155" s="37" t="str">
        <x:v>3</x:v>
      </x:c>
      <x:c r="E155" s="38" t="str">
        <x:v>cost 0.0..0.0</x:v>
      </x:c>
      <x:c r="F155" s="38" t="str">
        <x:v>0.0</x:v>
      </x:c>
      <x:c r="G155" s="37" t="str">
        <x:v>descriptive_frequency</x:v>
      </x:c>
      <x:c r="H155" s="37" t="str">
        <x:v>observed_pattern</x:v>
      </x:c>
      <x:c r="I155" s="37" t="str">
        <x:v>False</x:v>
      </x:c>
    </x:row>
    <x:row r="156">
      <x:c r="A156" s="37" t="str">
        <x:v>spell_numeric</x:v>
      </x:c>
      <x:c r="B156" s="37" t="str">
        <x:v>BladeAndBlunt.esp</x:v>
      </x:c>
      <x:c r="C156" s="38" t="str">
        <x:v>None | skill 0 | Fire and Forget | Self | Stagger</x:v>
      </x:c>
      <x:c r="D156" s="37" t="str">
        <x:v>6</x:v>
      </x:c>
      <x:c r="E156" s="38" t="str">
        <x:v>cost 0.0..0.0</x:v>
      </x:c>
      <x:c r="F156" s="38" t="str">
        <x:v>0.0</x:v>
      </x:c>
      <x:c r="G156" s="37" t="str">
        <x:v>descriptive_frequency</x:v>
      </x:c>
      <x:c r="H156" s="37" t="str">
        <x:v>observed_pattern</x:v>
      </x:c>
      <x:c r="I156" s="37" t="str">
        <x:v>False</x:v>
      </x:c>
    </x:row>
    <x:row r="157">
      <x:c r="A157" s="37" t="str">
        <x:v>spell_numeric</x:v>
      </x:c>
      <x:c r="B157" s="37" t="str">
        <x:v>BladeAndBlunt.esp</x:v>
      </x:c>
      <x:c r="C157" s="38" t="str">
        <x:v>None | skill 0 | Fire and Forget | Self | Value Modifier</x:v>
      </x:c>
      <x:c r="D157" s="37" t="str">
        <x:v>6</x:v>
      </x:c>
      <x:c r="E157" s="38" t="str">
        <x:v>cost 0.0..0.0</x:v>
      </x:c>
      <x:c r="F157" s="38" t="str">
        <x:v>0.0</x:v>
      </x:c>
      <x:c r="G157" s="37" t="str">
        <x:v>descriptive_frequency</x:v>
      </x:c>
      <x:c r="H157" s="37" t="str">
        <x:v>observed_pattern</x:v>
      </x:c>
      <x:c r="I157" s="37" t="str">
        <x:v>False</x:v>
      </x:c>
    </x:row>
    <x:row r="158">
      <x:c r="A158" s="37" t="str">
        <x:v>spell_numeric</x:v>
      </x:c>
      <x:c r="B158" s="37" t="str">
        <x:v>BladeAndBlunt.esp</x:v>
      </x:c>
      <x:c r="C158" s="38" t="str">
        <x:v>None | skill 0 | Fire and Forget | Touch | Peak Value Modifier</x:v>
      </x:c>
      <x:c r="D158" s="37" t="str">
        <x:v>7</x:v>
      </x:c>
      <x:c r="E158" s="38" t="str">
        <x:v>cost 0.0..0.0</x:v>
      </x:c>
      <x:c r="F158" s="38" t="str">
        <x:v>0.0</x:v>
      </x:c>
      <x:c r="G158" s="37" t="str">
        <x:v>descriptive_frequency</x:v>
      </x:c>
      <x:c r="H158" s="37" t="str">
        <x:v>observed_pattern</x:v>
      </x:c>
      <x:c r="I158" s="37" t="str">
        <x:v>False</x:v>
      </x:c>
    </x:row>
    <x:row r="159">
      <x:c r="A159" s="37" t="str">
        <x:v>spell_numeric</x:v>
      </x:c>
      <x:c r="B159" s="37" t="str">
        <x:v>BladeAndBlunt.esp</x:v>
      </x:c>
      <x:c r="C159" s="38" t="str">
        <x:v>None | skill 0 | Fire and Forget | Touch | Stagger</x:v>
      </x:c>
      <x:c r="D159" s="37" t="str">
        <x:v>16</x:v>
      </x:c>
      <x:c r="E159" s="38" t="str">
        <x:v>cost 0.0..0.0</x:v>
      </x:c>
      <x:c r="F159" s="38" t="str">
        <x:v>0.0</x:v>
      </x:c>
      <x:c r="G159" s="37" t="str">
        <x:v>descriptive_frequency</x:v>
      </x:c>
      <x:c r="H159" s="37" t="str">
        <x:v>observed_pattern</x:v>
      </x:c>
      <x:c r="I159" s="37" t="str">
        <x:v>False</x:v>
      </x:c>
    </x:row>
    <x:row r="160">
      <x:c r="A160" s="37" t="str">
        <x:v>spell_numeric</x:v>
      </x:c>
      <x:c r="B160" s="37" t="str">
        <x:v>HandtoHand.esp</x:v>
      </x:c>
      <x:c r="C160" s="38" t="str">
        <x:v>None | skill 0 | Fire and Forget | Touch | Value Modifier</x:v>
      </x:c>
      <x:c r="D160" s="37" t="str">
        <x:v>4</x:v>
      </x:c>
      <x:c r="E160" s="38" t="str">
        <x:v>cost 0.0..10.0</x:v>
      </x:c>
      <x:c r="F160" s="38" t="str">
        <x:v>0.0</x:v>
      </x:c>
      <x:c r="G160" s="37" t="str">
        <x:v>descriptive_frequency</x:v>
      </x:c>
      <x:c r="H160" s="37" t="str">
        <x:v>observed_pattern</x:v>
      </x:c>
      <x:c r="I160" s="37" t="str">
        <x:v>False</x:v>
      </x:c>
    </x:row>
    <x:row r="161">
      <x:c r="A161" s="37" t="str">
        <x:v>spell_numeric</x:v>
      </x:c>
      <x:c r="B161" s="37" t="str">
        <x:v>MysticismMagic.esp</x:v>
      </x:c>
      <x:c r="C161" s="38" t="str">
        <x:v> | skill  | Concentration | Aimed | </x:v>
      </x:c>
      <x:c r="D161" s="37" t="str">
        <x:v>3</x:v>
      </x:c>
      <x:c r="E161" s="38" t="str">
        <x:v>cost 2.0..225.0</x:v>
      </x:c>
      <x:c r="F161" s="38" t="str">
        <x:v>80.0</x:v>
      </x:c>
      <x:c r="G161" s="37" t="str">
        <x:v>descriptive_frequency</x:v>
      </x:c>
      <x:c r="H161" s="37" t="str">
        <x:v>observed_pattern</x:v>
      </x:c>
      <x:c r="I161" s="37" t="str">
        <x:v>False</x:v>
      </x:c>
    </x:row>
    <x:row r="162">
      <x:c r="A162" s="37" t="str">
        <x:v>spell_numeric</x:v>
      </x:c>
      <x:c r="B162" s="37" t="str">
        <x:v>MysticismMagic.esp</x:v>
      </x:c>
      <x:c r="C162" s="38" t="str">
        <x:v> | skill  | Fire and Forget | Aimed | </x:v>
      </x:c>
      <x:c r="D162" s="37" t="str">
        <x:v>6</x:v>
      </x:c>
      <x:c r="E162" s="38" t="str">
        <x:v>cost 30.0..135.0</x:v>
      </x:c>
      <x:c r="F162" s="38" t="str">
        <x:v>60.0</x:v>
      </x:c>
      <x:c r="G162" s="37" t="str">
        <x:v>descriptive_frequency</x:v>
      </x:c>
      <x:c r="H162" s="37" t="str">
        <x:v>observed_pattern</x:v>
      </x:c>
      <x:c r="I162" s="37" t="str">
        <x:v>False</x:v>
      </x:c>
    </x:row>
    <x:row r="163">
      <x:c r="A163" s="37" t="str">
        <x:v>spell_numeric</x:v>
      </x:c>
      <x:c r="B163" s="37" t="str">
        <x:v>MysticismMagic.esp</x:v>
      </x:c>
      <x:c r="C163" s="38" t="str">
        <x:v> | skill  | Fire and Forget | Target Actor | </x:v>
      </x:c>
      <x:c r="D163" s="37" t="str">
        <x:v>8</x:v>
      </x:c>
      <x:c r="E163" s="38" t="str">
        <x:v>cost 103.0..368.0</x:v>
      </x:c>
      <x:c r="F163" s="38" t="str">
        <x:v>194.0</x:v>
      </x:c>
      <x:c r="G163" s="37" t="str">
        <x:v>descriptive_frequency</x:v>
      </x:c>
      <x:c r="H163" s="37" t="str">
        <x:v>observed_pattern</x:v>
      </x:c>
      <x:c r="I163" s="37" t="str">
        <x:v>False</x:v>
      </x:c>
    </x:row>
    <x:row r="164">
      <x:c r="A164" s="37" t="str">
        <x:v>spell_numeric</x:v>
      </x:c>
      <x:c r="B164" s="37" t="str">
        <x:v>MysticismMagic.esp</x:v>
      </x:c>
      <x:c r="C164" s="38" t="str">
        <x:v>Alteration | skill 0 | Fire and Forget | Aimed | Paralysis</x:v>
      </x:c>
      <x:c r="D164" s="37" t="str">
        <x:v>3</x:v>
      </x:c>
      <x:c r="E164" s="38" t="str">
        <x:v>cost 0.0..257.0</x:v>
      </x:c>
      <x:c r="F164" s="38" t="str">
        <x:v>0.0</x:v>
      </x:c>
      <x:c r="G164" s="37" t="str">
        <x:v>descriptive_frequency</x:v>
      </x:c>
      <x:c r="H164" s="37" t="str">
        <x:v>observed_pattern</x:v>
      </x:c>
      <x:c r="I164" s="37" t="str">
        <x:v>False</x:v>
      </x:c>
    </x:row>
    <x:row r="165">
      <x:c r="A165" s="37" t="str">
        <x:v>spell_numeric</x:v>
      </x:c>
      <x:c r="B165" s="37" t="str">
        <x:v>MysticismMagic.esp</x:v>
      </x:c>
      <x:c r="C165" s="38" t="str">
        <x:v>Alteration | skill 0 | Fire and Forget | Self | Peak Value Modifier</x:v>
      </x:c>
      <x:c r="D165" s="37" t="str">
        <x:v>3</x:v>
      </x:c>
      <x:c r="E165" s="38" t="str">
        <x:v>cost 68.0..95.0</x:v>
      </x:c>
      <x:c r="F165" s="38" t="str">
        <x:v>90.0</x:v>
      </x:c>
      <x:c r="G165" s="37" t="str">
        <x:v>descriptive_frequency</x:v>
      </x:c>
      <x:c r="H165" s="37" t="str">
        <x:v>observed_pattern</x:v>
      </x:c>
      <x:c r="I165" s="37" t="str">
        <x:v>False</x:v>
      </x:c>
    </x:row>
    <x:row r="166">
      <x:c r="A166" s="37" t="str">
        <x:v>spell_numeric</x:v>
      </x:c>
      <x:c r="B166" s="37" t="str">
        <x:v>MysticismMagic.esp</x:v>
      </x:c>
      <x:c r="C166" s="38" t="str">
        <x:v>Alteration | skill 100 | Fire and Forget | Aimed | Peak Value Modifier</x:v>
      </x:c>
      <x:c r="D166" s="37" t="str">
        <x:v>4</x:v>
      </x:c>
      <x:c r="E166" s="38" t="str">
        <x:v>cost 634.0..683.0</x:v>
      </x:c>
      <x:c r="F166" s="38" t="str">
        <x:v>670.0</x:v>
      </x:c>
      <x:c r="G166" s="37" t="str">
        <x:v>descriptive_frequency</x:v>
      </x:c>
      <x:c r="H166" s="37" t="str">
        <x:v>observed_pattern</x:v>
      </x:c>
      <x:c r="I166" s="37" t="str">
        <x:v>False</x:v>
      </x:c>
    </x:row>
    <x:row r="167">
      <x:c r="A167" s="37" t="str">
        <x:v>spell_numeric</x:v>
      </x:c>
      <x:c r="B167" s="37" t="str">
        <x:v>MysticismMagic.esp</x:v>
      </x:c>
      <x:c r="C167" s="38" t="str">
        <x:v>Alteration | skill 100 | Fire and Forget | Self | Peak Value Modifier</x:v>
      </x:c>
      <x:c r="D167" s="37" t="str">
        <x:v>5</x:v>
      </x:c>
      <x:c r="E167" s="38" t="str">
        <x:v>cost 628.0..645.0</x:v>
      </x:c>
      <x:c r="F167" s="38" t="str">
        <x:v>634.0</x:v>
      </x:c>
      <x:c r="G167" s="37" t="str">
        <x:v>descriptive_frequency</x:v>
      </x:c>
      <x:c r="H167" s="37" t="str">
        <x:v>observed_pattern</x:v>
      </x:c>
      <x:c r="I167" s="37" t="str">
        <x:v>False</x:v>
      </x:c>
    </x:row>
    <x:row r="168">
      <x:c r="A168" s="37" t="str">
        <x:v>spell_numeric</x:v>
      </x:c>
      <x:c r="B168" s="37" t="str">
        <x:v>MysticismMagic.esp</x:v>
      </x:c>
      <x:c r="C168" s="38" t="str">
        <x:v>Alteration | skill 25 | Fire and Forget | Aimed | Peak Value Modifier</x:v>
      </x:c>
      <x:c r="D168" s="37" t="str">
        <x:v>3</x:v>
      </x:c>
      <x:c r="E168" s="38" t="str">
        <x:v>cost 122.0..128.0</x:v>
      </x:c>
      <x:c r="F168" s="38" t="str">
        <x:v>124.0</x:v>
      </x:c>
      <x:c r="G168" s="37" t="str">
        <x:v>descriptive_frequency</x:v>
      </x:c>
      <x:c r="H168" s="37" t="str">
        <x:v>observed_pattern</x:v>
      </x:c>
      <x:c r="I168" s="37" t="str">
        <x:v>False</x:v>
      </x:c>
    </x:row>
    <x:row r="169">
      <x:c r="A169" s="37" t="str">
        <x:v>spell_numeric</x:v>
      </x:c>
      <x:c r="B169" s="37" t="str">
        <x:v>MysticismMagic.esp</x:v>
      </x:c>
      <x:c r="C169" s="38" t="str">
        <x:v>Alteration | skill 25 | Fire and Forget | Self | Peak Value Modifier</x:v>
      </x:c>
      <x:c r="D169" s="37" t="str">
        <x:v>5</x:v>
      </x:c>
      <x:c r="E169" s="38" t="str">
        <x:v>cost 154.0..181.0</x:v>
      </x:c>
      <x:c r="F169" s="38" t="str">
        <x:v>165.0</x:v>
      </x:c>
      <x:c r="G169" s="37" t="str">
        <x:v>descriptive_frequency</x:v>
      </x:c>
      <x:c r="H169" s="37" t="str">
        <x:v>observed_pattern</x:v>
      </x:c>
      <x:c r="I169" s="37" t="str">
        <x:v>False</x:v>
      </x:c>
    </x:row>
    <x:row r="170">
      <x:c r="A170" s="37" t="str">
        <x:v>spell_numeric</x:v>
      </x:c>
      <x:c r="B170" s="37" t="str">
        <x:v>MysticismMagic.esp</x:v>
      </x:c>
      <x:c r="C170" s="38" t="str">
        <x:v>Alteration | skill 50 | Fire and Forget | Aimed | Peak Value Modifier</x:v>
      </x:c>
      <x:c r="D170" s="37" t="str">
        <x:v>4</x:v>
      </x:c>
      <x:c r="E170" s="38" t="str">
        <x:v>cost 194.0..238.0</x:v>
      </x:c>
      <x:c r="F170" s="38" t="str">
        <x:v>227.0</x:v>
      </x:c>
      <x:c r="G170" s="37" t="str">
        <x:v>descriptive_frequency</x:v>
      </x:c>
      <x:c r="H170" s="37" t="str">
        <x:v>observed_pattern</x:v>
      </x:c>
      <x:c r="I170" s="37" t="str">
        <x:v>False</x:v>
      </x:c>
    </x:row>
    <x:row r="171">
      <x:c r="A171" s="37" t="str">
        <x:v>spell_numeric</x:v>
      </x:c>
      <x:c r="B171" s="37" t="str">
        <x:v>MysticismMagic.esp</x:v>
      </x:c>
      <x:c r="C171" s="38" t="str">
        <x:v>Alteration | skill 50 | Fire and Forget | Self | Peak Value Modifier</x:v>
      </x:c>
      <x:c r="D171" s="37" t="str">
        <x:v>8</x:v>
      </x:c>
      <x:c r="E171" s="38" t="str">
        <x:v>cost 212.0..266.0</x:v>
      </x:c>
      <x:c r="F171" s="38" t="str">
        <x:v>259.0</x:v>
      </x:c>
      <x:c r="G171" s="37" t="str">
        <x:v>descriptive_frequency</x:v>
      </x:c>
      <x:c r="H171" s="37" t="str">
        <x:v>observed_pattern</x:v>
      </x:c>
      <x:c r="I171" s="37" t="str">
        <x:v>False</x:v>
      </x:c>
    </x:row>
    <x:row r="172">
      <x:c r="A172" s="37" t="str">
        <x:v>spell_numeric</x:v>
      </x:c>
      <x:c r="B172" s="37" t="str">
        <x:v>MysticismMagic.esp</x:v>
      </x:c>
      <x:c r="C172" s="38" t="str">
        <x:v>Alteration | skill 50 | Fire and Forget | Self | Script</x:v>
      </x:c>
      <x:c r="D172" s="37" t="str">
        <x:v>3</x:v>
      </x:c>
      <x:c r="E172" s="38" t="str">
        <x:v>cost 211.0..261.0</x:v>
      </x:c>
      <x:c r="F172" s="38" t="str">
        <x:v>258.0</x:v>
      </x:c>
      <x:c r="G172" s="37" t="str">
        <x:v>descriptive_frequency</x:v>
      </x:c>
      <x:c r="H172" s="37" t="str">
        <x:v>observed_pattern</x:v>
      </x:c>
      <x:c r="I172" s="37" t="str">
        <x:v>False</x:v>
      </x:c>
    </x:row>
    <x:row r="173">
      <x:c r="A173" s="37" t="str">
        <x:v>spell_numeric</x:v>
      </x:c>
      <x:c r="B173" s="37" t="str">
        <x:v>MysticismMagic.esp</x:v>
      </x:c>
      <x:c r="C173" s="38" t="str">
        <x:v>Alteration | skill 75 | Fire and Forget | Self | Peak Value Modifier</x:v>
      </x:c>
      <x:c r="D173" s="37" t="str">
        <x:v>5</x:v>
      </x:c>
      <x:c r="E173" s="38" t="str">
        <x:v>cost 333.0..370.0</x:v>
      </x:c>
      <x:c r="F173" s="38" t="str">
        <x:v>349.0</x:v>
      </x:c>
      <x:c r="G173" s="37" t="str">
        <x:v>descriptive_frequency</x:v>
      </x:c>
      <x:c r="H173" s="37" t="str">
        <x:v>observed_pattern</x:v>
      </x:c>
      <x:c r="I173" s="37" t="str">
        <x:v>False</x:v>
      </x:c>
    </x:row>
    <x:row r="174">
      <x:c r="A174" s="37" t="str">
        <x:v>spell_numeric</x:v>
      </x:c>
      <x:c r="B174" s="37" t="str">
        <x:v>MysticismMagic.esp</x:v>
      </x:c>
      <x:c r="C174" s="38" t="str">
        <x:v>Conjuration | skill 0 | Fire and Forget | Self | Bound Weapon</x:v>
      </x:c>
      <x:c r="D174" s="37" t="str">
        <x:v>3</x:v>
      </x:c>
      <x:c r="E174" s="38" t="str">
        <x:v>cost 75.0..78.0</x:v>
      </x:c>
      <x:c r="F174" s="38" t="str">
        <x:v>78.0</x:v>
      </x:c>
      <x:c r="G174" s="37" t="str">
        <x:v>descriptive_frequency</x:v>
      </x:c>
      <x:c r="H174" s="37" t="str">
        <x:v>observed_pattern</x:v>
      </x:c>
      <x:c r="I174" s="37" t="str">
        <x:v>False</x:v>
      </x:c>
    </x:row>
    <x:row r="175">
      <x:c r="A175" s="37" t="str">
        <x:v>spell_numeric</x:v>
      </x:c>
      <x:c r="B175" s="37" t="str">
        <x:v>MysticismMagic.esp</x:v>
      </x:c>
      <x:c r="C175" s="38" t="str">
        <x:v>Conjuration | skill 0 | Fire and Forget | Target Location | Summon Creature</x:v>
      </x:c>
      <x:c r="D175" s="37" t="str">
        <x:v>3</x:v>
      </x:c>
      <x:c r="E175" s="38" t="str">
        <x:v>cost 89.0..107.0</x:v>
      </x:c>
      <x:c r="F175" s="38" t="str">
        <x:v>90.0</x:v>
      </x:c>
      <x:c r="G175" s="37" t="str">
        <x:v>descriptive_frequency</x:v>
      </x:c>
      <x:c r="H175" s="37" t="str">
        <x:v>observed_pattern</x:v>
      </x:c>
      <x:c r="I175" s="37" t="str">
        <x:v>False</x:v>
      </x:c>
    </x:row>
    <x:row r="176">
      <x:c r="A176" s="37" t="str">
        <x:v>spell_numeric</x:v>
      </x:c>
      <x:c r="B176" s="37" t="str">
        <x:v>MysticismMagic.esp</x:v>
      </x:c>
      <x:c r="C176" s="38" t="str">
        <x:v>Conjuration | skill 100 | Fire and Forget | Target Location | Summon Creature</x:v>
      </x:c>
      <x:c r="D176" s="37" t="str">
        <x:v>15</x:v>
      </x:c>
      <x:c r="E176" s="38" t="str">
        <x:v>cost 612.0..661.0</x:v>
      </x:c>
      <x:c r="F176" s="38" t="str">
        <x:v>649.0</x:v>
      </x:c>
      <x:c r="G176" s="37" t="str">
        <x:v>descriptive_frequency</x:v>
      </x:c>
      <x:c r="H176" s="37" t="str">
        <x:v>observed_pattern</x:v>
      </x:c>
      <x:c r="I176" s="37" t="str">
        <x:v>False</x:v>
      </x:c>
    </x:row>
    <x:row r="177">
      <x:c r="A177" s="37" t="str">
        <x:v>spell_numeric</x:v>
      </x:c>
      <x:c r="B177" s="37" t="str">
        <x:v>MysticismMagic.esp</x:v>
      </x:c>
      <x:c r="C177" s="38" t="str">
        <x:v>Conjuration | skill 25 | Fire and Forget | Self | Bound Weapon</x:v>
      </x:c>
      <x:c r="D177" s="37" t="str">
        <x:v>7</x:v>
      </x:c>
      <x:c r="E177" s="38" t="str">
        <x:v>cost 135.0..190.0</x:v>
      </x:c>
      <x:c r="F177" s="38" t="str">
        <x:v>152.0</x:v>
      </x:c>
      <x:c r="G177" s="37" t="str">
        <x:v>descriptive_frequency</x:v>
      </x:c>
      <x:c r="H177" s="37" t="str">
        <x:v>observed_pattern</x:v>
      </x:c>
      <x:c r="I177" s="37" t="str">
        <x:v>False</x:v>
      </x:c>
    </x:row>
    <x:row r="178">
      <x:c r="A178" s="37" t="str">
        <x:v>spell_numeric</x:v>
      </x:c>
      <x:c r="B178" s="37" t="str">
        <x:v>MysticismMagic.esp</x:v>
      </x:c>
      <x:c r="C178" s="38" t="str">
        <x:v>Conjuration | skill 25 | Fire and Forget | Target Location | Summon Creature</x:v>
      </x:c>
      <x:c r="D178" s="37" t="str">
        <x:v>6</x:v>
      </x:c>
      <x:c r="E178" s="38" t="str">
        <x:v>cost 145.0..150.0</x:v>
      </x:c>
      <x:c r="F178" s="38" t="str">
        <x:v>149.5</x:v>
      </x:c>
      <x:c r="G178" s="37" t="str">
        <x:v>descriptive_frequency</x:v>
      </x:c>
      <x:c r="H178" s="37" t="str">
        <x:v>observed_pattern</x:v>
      </x:c>
      <x:c r="I178" s="37" t="str">
        <x:v>False</x:v>
      </x:c>
    </x:row>
    <x:row r="179">
      <x:c r="A179" s="37" t="str">
        <x:v>spell_numeric</x:v>
      </x:c>
      <x:c r="B179" s="37" t="str">
        <x:v>MysticismMagic.esp</x:v>
      </x:c>
      <x:c r="C179" s="38" t="str">
        <x:v>Conjuration | skill 50 | Fire and Forget | Target Location | Summon Creature</x:v>
      </x:c>
      <x:c r="D179" s="37" t="str">
        <x:v>15</x:v>
      </x:c>
      <x:c r="E179" s="38" t="str">
        <x:v>cost 173.0..277.0</x:v>
      </x:c>
      <x:c r="F179" s="38" t="str">
        <x:v>247.0</x:v>
      </x:c>
      <x:c r="G179" s="37" t="str">
        <x:v>descriptive_frequency</x:v>
      </x:c>
      <x:c r="H179" s="37" t="str">
        <x:v>observed_pattern</x:v>
      </x:c>
      <x:c r="I179" s="37" t="str">
        <x:v>False</x:v>
      </x:c>
    </x:row>
    <x:row r="180">
      <x:c r="A180" s="37" t="str">
        <x:v>spell_numeric</x:v>
      </x:c>
      <x:c r="B180" s="37" t="str">
        <x:v>MysticismMagic.esp</x:v>
      </x:c>
      <x:c r="C180" s="38" t="str">
        <x:v>Conjuration | skill 75 | Fire and Forget | Self | Script</x:v>
      </x:c>
      <x:c r="D180" s="37" t="str">
        <x:v>5</x:v>
      </x:c>
      <x:c r="E180" s="38" t="str">
        <x:v>cost 350.0..450.0</x:v>
      </x:c>
      <x:c r="F180" s="38" t="str">
        <x:v>425.0</x:v>
      </x:c>
      <x:c r="G180" s="37" t="str">
        <x:v>descriptive_frequency</x:v>
      </x:c>
      <x:c r="H180" s="37" t="str">
        <x:v>observed_pattern</x:v>
      </x:c>
      <x:c r="I180" s="37" t="str">
        <x:v>False</x:v>
      </x:c>
    </x:row>
    <x:row r="181">
      <x:c r="A181" s="37" t="str">
        <x:v>spell_numeric</x:v>
      </x:c>
      <x:c r="B181" s="37" t="str">
        <x:v>MysticismMagic.esp</x:v>
      </x:c>
      <x:c r="C181" s="38" t="str">
        <x:v>Conjuration | skill 75 | Fire and Forget | Target Location | Summon Creature</x:v>
      </x:c>
      <x:c r="D181" s="37" t="str">
        <x:v>12</x:v>
      </x:c>
      <x:c r="E181" s="38" t="str">
        <x:v>cost 336.0..389.0</x:v>
      </x:c>
      <x:c r="F181" s="38" t="str">
        <x:v>377.0</x:v>
      </x:c>
      <x:c r="G181" s="37" t="str">
        <x:v>descriptive_frequency</x:v>
      </x:c>
      <x:c r="H181" s="37" t="str">
        <x:v>observed_pattern</x:v>
      </x:c>
      <x:c r="I181" s="37" t="str">
        <x:v>False</x:v>
      </x:c>
    </x:row>
    <x:row r="182">
      <x:c r="A182" s="37" t="str">
        <x:v>spell_numeric</x:v>
      </x:c>
      <x:c r="B182" s="37" t="str">
        <x:v>MysticismMagic.esp</x:v>
      </x:c>
      <x:c r="C182" s="38" t="str">
        <x:v>Destruction | skill 0 | Concentration | Aimed | Absorb</x:v>
      </x:c>
      <x:c r="D182" s="37" t="str">
        <x:v>3</x:v>
      </x:c>
      <x:c r="E182" s="38" t="str">
        <x:v>cost 17.0..37.0</x:v>
      </x:c>
      <x:c r="F182" s="38" t="str">
        <x:v>17.0</x:v>
      </x:c>
      <x:c r="G182" s="37" t="str">
        <x:v>descriptive_frequency</x:v>
      </x:c>
      <x:c r="H182" s="37" t="str">
        <x:v>observed_pattern</x:v>
      </x:c>
      <x:c r="I182" s="37" t="str">
        <x:v>False</x:v>
      </x:c>
    </x:row>
    <x:row r="183">
      <x:c r="A183" s="37" t="str">
        <x:v>spell_numeric</x:v>
      </x:c>
      <x:c r="B183" s="37" t="str">
        <x:v>MysticismMagic.esp</x:v>
      </x:c>
      <x:c r="C183" s="38" t="str">
        <x:v>Destruction | skill 0 | Concentration | Aimed | Dual Value Modifier</x:v>
      </x:c>
      <x:c r="D183" s="37" t="str">
        <x:v>8</x:v>
      </x:c>
      <x:c r="E183" s="38" t="str">
        <x:v>cost 16.0..22.0</x:v>
      </x:c>
      <x:c r="F183" s="38" t="str">
        <x:v>19.5</x:v>
      </x:c>
      <x:c r="G183" s="37" t="str">
        <x:v>descriptive_frequency</x:v>
      </x:c>
      <x:c r="H183" s="37" t="str">
        <x:v>observed_pattern</x:v>
      </x:c>
      <x:c r="I183" s="37" t="str">
        <x:v>False</x:v>
      </x:c>
    </x:row>
    <x:row r="184">
      <x:c r="A184" s="37" t="str">
        <x:v>spell_numeric</x:v>
      </x:c>
      <x:c r="B184" s="37" t="str">
        <x:v>MysticismMagic.esp</x:v>
      </x:c>
      <x:c r="C184" s="38" t="str">
        <x:v>Destruction | skill 0 | Concentration | Aimed | Value Modifier</x:v>
      </x:c>
      <x:c r="D184" s="37" t="str">
        <x:v>4</x:v>
      </x:c>
      <x:c r="E184" s="38" t="str">
        <x:v>cost 9.0..18.0</x:v>
      </x:c>
      <x:c r="F184" s="38" t="str">
        <x:v>18.0</x:v>
      </x:c>
      <x:c r="G184" s="37" t="str">
        <x:v>descriptive_frequency</x:v>
      </x:c>
      <x:c r="H184" s="37" t="str">
        <x:v>observed_pattern</x:v>
      </x:c>
      <x:c r="I184" s="37" t="str">
        <x:v>False</x:v>
      </x:c>
    </x:row>
    <x:row r="185">
      <x:c r="A185" s="37" t="str">
        <x:v>spell_numeric</x:v>
      </x:c>
      <x:c r="B185" s="37" t="str">
        <x:v>MysticismMagic.esp</x:v>
      </x:c>
      <x:c r="C185" s="38" t="str">
        <x:v>Destruction | skill 0 | Fire and Forget | Touch | Dual Value Modifier</x:v>
      </x:c>
      <x:c r="D185" s="37" t="str">
        <x:v>4</x:v>
      </x:c>
      <x:c r="E185" s="38" t="str">
        <x:v>cost 39.0..161.0</x:v>
      </x:c>
      <x:c r="F185" s="38" t="str">
        <x:v>83.0</x:v>
      </x:c>
      <x:c r="G185" s="37" t="str">
        <x:v>descriptive_frequency</x:v>
      </x:c>
      <x:c r="H185" s="37" t="str">
        <x:v>observed_pattern</x:v>
      </x:c>
      <x:c r="I185" s="37" t="str">
        <x:v>False</x:v>
      </x:c>
    </x:row>
    <x:row r="186">
      <x:c r="A186" s="37" t="str">
        <x:v>spell_numeric</x:v>
      </x:c>
      <x:c r="B186" s="37" t="str">
        <x:v>MysticismMagic.esp</x:v>
      </x:c>
      <x:c r="C186" s="38" t="str">
        <x:v>Destruction | skill 100 | Concentration | Aimed | Absorb</x:v>
      </x:c>
      <x:c r="D186" s="37" t="str">
        <x:v>3</x:v>
      </x:c>
      <x:c r="E186" s="38" t="str">
        <x:v>cost 140.0..209.0</x:v>
      </x:c>
      <x:c r="F186" s="38" t="str">
        <x:v>140.0</x:v>
      </x:c>
      <x:c r="G186" s="37" t="str">
        <x:v>descriptive_frequency</x:v>
      </x:c>
      <x:c r="H186" s="37" t="str">
        <x:v>observed_pattern</x:v>
      </x:c>
      <x:c r="I186" s="37" t="str">
        <x:v>False</x:v>
      </x:c>
    </x:row>
    <x:row r="187">
      <x:c r="A187" s="37" t="str">
        <x:v>spell_numeric</x:v>
      </x:c>
      <x:c r="B187" s="37" t="str">
        <x:v>MysticismMagic.esp</x:v>
      </x:c>
      <x:c r="C187" s="38" t="str">
        <x:v>Destruction | skill 100 | Fire and Forget | Aimed | Dual Value Modifier</x:v>
      </x:c>
      <x:c r="D187" s="37" t="str">
        <x:v>4</x:v>
      </x:c>
      <x:c r="E187" s="38" t="str">
        <x:v>cost 388.0..420.0</x:v>
      </x:c>
      <x:c r="F187" s="38" t="str">
        <x:v>400.5</x:v>
      </x:c>
      <x:c r="G187" s="37" t="str">
        <x:v>descriptive_frequency</x:v>
      </x:c>
      <x:c r="H187" s="37" t="str">
        <x:v>observed_pattern</x:v>
      </x:c>
      <x:c r="I187" s="37" t="str">
        <x:v>False</x:v>
      </x:c>
    </x:row>
    <x:row r="188">
      <x:c r="A188" s="37" t="str">
        <x:v>spell_numeric</x:v>
      </x:c>
      <x:c r="B188" s="37" t="str">
        <x:v>MysticismMagic.esp</x:v>
      </x:c>
      <x:c r="C188" s="38" t="str">
        <x:v>Destruction | skill 100 | Fire and Forget | Self | Cloak</x:v>
      </x:c>
      <x:c r="D188" s="37" t="str">
        <x:v>3</x:v>
      </x:c>
      <x:c r="E188" s="38" t="str">
        <x:v>cost 611.0..625.0</x:v>
      </x:c>
      <x:c r="F188" s="38" t="str">
        <x:v>620.0</x:v>
      </x:c>
      <x:c r="G188" s="37" t="str">
        <x:v>descriptive_frequency</x:v>
      </x:c>
      <x:c r="H188" s="37" t="str">
        <x:v>observed_pattern</x:v>
      </x:c>
      <x:c r="I188" s="37" t="str">
        <x:v>False</x:v>
      </x:c>
    </x:row>
    <x:row r="189">
      <x:c r="A189" s="37" t="str">
        <x:v>spell_numeric</x:v>
      </x:c>
      <x:c r="B189" s="37" t="str">
        <x:v>MysticismMagic.esp</x:v>
      </x:c>
      <x:c r="C189" s="38" t="str">
        <x:v>Destruction | skill 25 | Fire and Forget | Aimed | Dual Value Modifier</x:v>
      </x:c>
      <x:c r="D189" s="37" t="str">
        <x:v>5</x:v>
      </x:c>
      <x:c r="E189" s="38" t="str">
        <x:v>cost 40.0..50.0</x:v>
      </x:c>
      <x:c r="F189" s="38" t="str">
        <x:v>40.0</x:v>
      </x:c>
      <x:c r="G189" s="37" t="str">
        <x:v>descriptive_frequency</x:v>
      </x:c>
      <x:c r="H189" s="37" t="str">
        <x:v>observed_pattern</x:v>
      </x:c>
      <x:c r="I189" s="37" t="str">
        <x:v>False</x:v>
      </x:c>
    </x:row>
    <x:row r="190">
      <x:c r="A190" s="37" t="str">
        <x:v>spell_numeric</x:v>
      </x:c>
      <x:c r="B190" s="37" t="str">
        <x:v>MysticismMagic.esp</x:v>
      </x:c>
      <x:c r="C190" s="38" t="str">
        <x:v>Destruction | skill 25 | Fire and Forget | Aimed | Value Modifier</x:v>
      </x:c>
      <x:c r="D190" s="37" t="str">
        <x:v>4</x:v>
      </x:c>
      <x:c r="E190" s="38" t="str">
        <x:v>cost 30.0..45.0</x:v>
      </x:c>
      <x:c r="F190" s="38" t="str">
        <x:v>45.0</x:v>
      </x:c>
      <x:c r="G190" s="37" t="str">
        <x:v>descriptive_frequency</x:v>
      </x:c>
      <x:c r="H190" s="37" t="str">
        <x:v>observed_pattern</x:v>
      </x:c>
      <x:c r="I190" s="37" t="str">
        <x:v>False</x:v>
      </x:c>
    </x:row>
    <x:row r="191">
      <x:c r="A191" s="37" t="str">
        <x:v>spell_numeric</x:v>
      </x:c>
      <x:c r="B191" s="37" t="str">
        <x:v>MysticismMagic.esp</x:v>
      </x:c>
      <x:c r="C191" s="38" t="str">
        <x:v>Destruction | skill 50 | Concentration | Aimed | Absorb</x:v>
      </x:c>
      <x:c r="D191" s="37" t="str">
        <x:v>3</x:v>
      </x:c>
      <x:c r="E191" s="38" t="str">
        <x:v>cost 45.0..68.0</x:v>
      </x:c>
      <x:c r="F191" s="38" t="str">
        <x:v>45.0</x:v>
      </x:c>
      <x:c r="G191" s="37" t="str">
        <x:v>descriptive_frequency</x:v>
      </x:c>
      <x:c r="H191" s="37" t="str">
        <x:v>observed_pattern</x:v>
      </x:c>
      <x:c r="I191" s="37" t="str">
        <x:v>False</x:v>
      </x:c>
    </x:row>
    <x:row r="192">
      <x:c r="A192" s="37" t="str">
        <x:v>spell_numeric</x:v>
      </x:c>
      <x:c r="B192" s="37" t="str">
        <x:v>MysticismMagic.esp</x:v>
      </x:c>
      <x:c r="C192" s="38" t="str">
        <x:v>Destruction | skill 50 | Fire and Forget | Aimed | Dual Value Modifier</x:v>
      </x:c>
      <x:c r="D192" s="37" t="str">
        <x:v>13</x:v>
      </x:c>
      <x:c r="E192" s="38" t="str">
        <x:v>cost 120.0..180.0</x:v>
      </x:c>
      <x:c r="F192" s="38" t="str">
        <x:v>124.0</x:v>
      </x:c>
      <x:c r="G192" s="37" t="str">
        <x:v>descriptive_frequency</x:v>
      </x:c>
      <x:c r="H192" s="37" t="str">
        <x:v>observed_pattern</x:v>
      </x:c>
      <x:c r="I192" s="37" t="str">
        <x:v>False</x:v>
      </x:c>
    </x:row>
    <x:row r="193">
      <x:c r="A193" s="37" t="str">
        <x:v>spell_numeric</x:v>
      </x:c>
      <x:c r="B193" s="37" t="str">
        <x:v>MysticismMagic.esp</x:v>
      </x:c>
      <x:c r="C193" s="38" t="str">
        <x:v>Destruction | skill 50 | Fire and Forget | Aimed | Value Modifier</x:v>
      </x:c>
      <x:c r="D193" s="37" t="str">
        <x:v>6</x:v>
      </x:c>
      <x:c r="E193" s="38" t="str">
        <x:v>cost 40.0..142.0</x:v>
      </x:c>
      <x:c r="F193" s="38" t="str">
        <x:v>128.5</x:v>
      </x:c>
      <x:c r="G193" s="37" t="str">
        <x:v>descriptive_frequency</x:v>
      </x:c>
      <x:c r="H193" s="37" t="str">
        <x:v>observed_pattern</x:v>
      </x:c>
      <x:c r="I193" s="37" t="str">
        <x:v>False</x:v>
      </x:c>
    </x:row>
    <x:row r="194">
      <x:c r="A194" s="37" t="str">
        <x:v>spell_numeric</x:v>
      </x:c>
      <x:c r="B194" s="37" t="str">
        <x:v>MysticismMagic.esp</x:v>
      </x:c>
      <x:c r="C194" s="38" t="str">
        <x:v>Destruction | skill 50 | Fire and Forget | Self | Cloak</x:v>
      </x:c>
      <x:c r="D194" s="37" t="str">
        <x:v>5</x:v>
      </x:c>
      <x:c r="E194" s="38" t="str">
        <x:v>cost 243.0..301.0</x:v>
      </x:c>
      <x:c r="F194" s="38" t="str">
        <x:v>268.0</x:v>
      </x:c>
      <x:c r="G194" s="37" t="str">
        <x:v>descriptive_frequency</x:v>
      </x:c>
      <x:c r="H194" s="37" t="str">
        <x:v>observed_pattern</x:v>
      </x:c>
      <x:c r="I194" s="37" t="str">
        <x:v>False</x:v>
      </x:c>
    </x:row>
    <x:row r="195">
      <x:c r="A195" s="37" t="str">
        <x:v>spell_numeric</x:v>
      </x:c>
      <x:c r="B195" s="37" t="str">
        <x:v>MysticismMagic.esp</x:v>
      </x:c>
      <x:c r="C195" s="38" t="str">
        <x:v>Destruction | skill 75 | Concentration | Aimed | Script</x:v>
      </x:c>
      <x:c r="D195" s="37" t="str">
        <x:v>5</x:v>
      </x:c>
      <x:c r="E195" s="38" t="str">
        <x:v>cost 88.0..204.0</x:v>
      </x:c>
      <x:c r="F195" s="38" t="str">
        <x:v>101.0</x:v>
      </x:c>
      <x:c r="G195" s="37" t="str">
        <x:v>descriptive_frequency</x:v>
      </x:c>
      <x:c r="H195" s="37" t="str">
        <x:v>observed_pattern</x:v>
      </x:c>
      <x:c r="I195" s="37" t="str">
        <x:v>False</x:v>
      </x:c>
    </x:row>
    <x:row r="196">
      <x:c r="A196" s="37" t="str">
        <x:v>spell_numeric</x:v>
      </x:c>
      <x:c r="B196" s="37" t="str">
        <x:v>MysticismMagic.esp</x:v>
      </x:c>
      <x:c r="C196" s="38" t="str">
        <x:v>Destruction | skill 75 | Fire and Forget | Aimed | Dual Value Modifier</x:v>
      </x:c>
      <x:c r="D196" s="37" t="str">
        <x:v>11</x:v>
      </x:c>
      <x:c r="E196" s="38" t="str">
        <x:v>cost 150.0..310.0</x:v>
      </x:c>
      <x:c r="F196" s="38" t="str">
        <x:v>228.0</x:v>
      </x:c>
      <x:c r="G196" s="37" t="str">
        <x:v>descriptive_frequency</x:v>
      </x:c>
      <x:c r="H196" s="37" t="str">
        <x:v>observed_pattern</x:v>
      </x:c>
      <x:c r="I196" s="37" t="str">
        <x:v>False</x:v>
      </x:c>
    </x:row>
    <x:row r="197">
      <x:c r="A197" s="37" t="str">
        <x:v>spell_numeric</x:v>
      </x:c>
      <x:c r="B197" s="37" t="str">
        <x:v>MysticismMagic.esp</x:v>
      </x:c>
      <x:c r="C197" s="38" t="str">
        <x:v>Destruction | skill 75 | Fire and Forget | Aimed | Value Modifier</x:v>
      </x:c>
      <x:c r="D197" s="37" t="str">
        <x:v>7</x:v>
      </x:c>
      <x:c r="E197" s="38" t="str">
        <x:v>cost 150.0..298.0</x:v>
      </x:c>
      <x:c r="F197" s="38" t="str">
        <x:v>240.0</x:v>
      </x:c>
      <x:c r="G197" s="37" t="str">
        <x:v>descriptive_frequency</x:v>
      </x:c>
      <x:c r="H197" s="37" t="str">
        <x:v>observed_pattern</x:v>
      </x:c>
      <x:c r="I197" s="37" t="str">
        <x:v>False</x:v>
      </x:c>
    </x:row>
    <x:row r="198">
      <x:c r="A198" s="37" t="str">
        <x:v>spell_numeric</x:v>
      </x:c>
      <x:c r="B198" s="37" t="str">
        <x:v>MysticismMagic.esp</x:v>
      </x:c>
      <x:c r="C198" s="38" t="str">
        <x:v>Illusion | skill 100 | Fire and Forget | Self | Invisibility</x:v>
      </x:c>
      <x:c r="D198" s="37" t="str">
        <x:v>3</x:v>
      </x:c>
      <x:c r="E198" s="38" t="str">
        <x:v>cost 684.0..721.0</x:v>
      </x:c>
      <x:c r="F198" s="38" t="str">
        <x:v>684.0</x:v>
      </x:c>
      <x:c r="G198" s="37" t="str">
        <x:v>descriptive_frequency</x:v>
      </x:c>
      <x:c r="H198" s="37" t="str">
        <x:v>observed_pattern</x:v>
      </x:c>
      <x:c r="I198" s="37" t="str">
        <x:v>False</x:v>
      </x:c>
    </x:row>
    <x:row r="199">
      <x:c r="A199" s="37" t="str">
        <x:v>spell_numeric</x:v>
      </x:c>
      <x:c r="B199" s="37" t="str">
        <x:v>MysticismMagic.esp</x:v>
      </x:c>
      <x:c r="C199" s="38" t="str">
        <x:v>Illusion | skill 100 | Fire and Forget | Self | Rally</x:v>
      </x:c>
      <x:c r="D199" s="37" t="str">
        <x:v>4</x:v>
      </x:c>
      <x:c r="E199" s="38" t="str">
        <x:v>cost 538.0..1001.0</x:v>
      </x:c>
      <x:c r="F199" s="38" t="str">
        <x:v>904.5</x:v>
      </x:c>
      <x:c r="G199" s="37" t="str">
        <x:v>descriptive_frequency</x:v>
      </x:c>
      <x:c r="H199" s="37" t="str">
        <x:v>observed_pattern</x:v>
      </x:c>
      <x:c r="I199" s="37" t="str">
        <x:v>False</x:v>
      </x:c>
    </x:row>
    <x:row r="200">
      <x:c r="A200" s="37" t="str">
        <x:v>spell_numeric</x:v>
      </x:c>
      <x:c r="B200" s="37" t="str">
        <x:v>MysticismMagic.esp</x:v>
      </x:c>
      <x:c r="C200" s="38" t="str">
        <x:v>Illusion | skill 50 | Fire and Forget | Aimed | Rally</x:v>
      </x:c>
      <x:c r="D200" s="37" t="str">
        <x:v>3</x:v>
      </x:c>
      <x:c r="E200" s="38" t="str">
        <x:v>cost 260.0..271.0</x:v>
      </x:c>
      <x:c r="F200" s="38" t="str">
        <x:v>269.0</x:v>
      </x:c>
      <x:c r="G200" s="37" t="str">
        <x:v>descriptive_frequency</x:v>
      </x:c>
      <x:c r="H200" s="37" t="str">
        <x:v>observed_pattern</x:v>
      </x:c>
      <x:c r="I200" s="37" t="str">
        <x:v>False</x:v>
      </x:c>
    </x:row>
    <x:row r="201">
      <x:c r="A201" s="37" t="str">
        <x:v>spell_numeric</x:v>
      </x:c>
      <x:c r="B201" s="37" t="str">
        <x:v>MysticismMagic.esp</x:v>
      </x:c>
      <x:c r="C201" s="38" t="str">
        <x:v>Illusion | skill 75 | Fire and Forget | Aimed | Rally</x:v>
      </x:c>
      <x:c r="D201" s="37" t="str">
        <x:v>3</x:v>
      </x:c>
      <x:c r="E201" s="38" t="str">
        <x:v>cost 398.0..449.0</x:v>
      </x:c>
      <x:c r="F201" s="38" t="str">
        <x:v>448.0</x:v>
      </x:c>
      <x:c r="G201" s="37" t="str">
        <x:v>descriptive_frequency</x:v>
      </x:c>
      <x:c r="H201" s="37" t="str">
        <x:v>observed_pattern</x:v>
      </x:c>
      <x:c r="I201" s="37" t="str">
        <x:v>False</x:v>
      </x:c>
    </x:row>
    <x:row r="202">
      <x:c r="A202" s="37" t="str">
        <x:v>spell_numeric</x:v>
      </x:c>
      <x:c r="B202" s="37" t="str">
        <x:v>MysticismMagic.esp</x:v>
      </x:c>
      <x:c r="C202" s="38" t="str">
        <x:v>Illusion | skill 75 | Fire and Forget | Target Location | Script</x:v>
      </x:c>
      <x:c r="D202" s="37" t="str">
        <x:v>6</x:v>
      </x:c>
      <x:c r="E202" s="38" t="str">
        <x:v>cost 443.0..495.0</x:v>
      </x:c>
      <x:c r="F202" s="38" t="str">
        <x:v>447.0</x:v>
      </x:c>
      <x:c r="G202" s="37" t="str">
        <x:v>descriptive_frequency</x:v>
      </x:c>
      <x:c r="H202" s="37" t="str">
        <x:v>observed_pattern</x:v>
      </x:c>
      <x:c r="I202" s="37" t="str">
        <x:v>False</x:v>
      </x:c>
    </x:row>
    <x:row r="203">
      <x:c r="A203" s="37" t="str">
        <x:v>spell_numeric</x:v>
      </x:c>
      <x:c r="B203" s="37" t="str">
        <x:v>MysticismMagic.esp</x:v>
      </x:c>
      <x:c r="C203" s="38" t="str">
        <x:v>None | skill 0 | Constant Effect | Self | Peak Value Modifier</x:v>
      </x:c>
      <x:c r="D203" s="37" t="str">
        <x:v>3</x:v>
      </x:c>
      <x:c r="E203" s="38" t="str">
        <x:v>cost 0.0..0.0</x:v>
      </x:c>
      <x:c r="F203" s="38" t="str">
        <x:v>0.0</x:v>
      </x:c>
      <x:c r="G203" s="37" t="str">
        <x:v>descriptive_frequency</x:v>
      </x:c>
      <x:c r="H203" s="37" t="str">
        <x:v>observed_pattern</x:v>
      </x:c>
      <x:c r="I203" s="37" t="str">
        <x:v>False</x:v>
      </x:c>
    </x:row>
    <x:row r="204">
      <x:c r="A204" s="37" t="str">
        <x:v>spell_numeric</x:v>
      </x:c>
      <x:c r="B204" s="37" t="str">
        <x:v>MysticismMagic.esp</x:v>
      </x:c>
      <x:c r="C204" s="38" t="str">
        <x:v>None | skill 0 | Constant Effect | Self | Script</x:v>
      </x:c>
      <x:c r="D204" s="37" t="str">
        <x:v>6</x:v>
      </x:c>
      <x:c r="E204" s="38" t="str">
        <x:v>cost 0.0..5.0</x:v>
      </x:c>
      <x:c r="F204" s="38" t="str">
        <x:v>0.0</x:v>
      </x:c>
      <x:c r="G204" s="37" t="str">
        <x:v>descriptive_frequency</x:v>
      </x:c>
      <x:c r="H204" s="37" t="str">
        <x:v>observed_pattern</x:v>
      </x:c>
      <x:c r="I204" s="37" t="str">
        <x:v>False</x:v>
      </x:c>
    </x:row>
    <x:row r="205">
      <x:c r="A205" s="37" t="str">
        <x:v>spell_numeric</x:v>
      </x:c>
      <x:c r="B205" s="37" t="str">
        <x:v>MysticismMagic.esp</x:v>
      </x:c>
      <x:c r="C205" s="38" t="str">
        <x:v>None | skill 0 | Fire and Forget | Self | Script</x:v>
      </x:c>
      <x:c r="D205" s="37" t="str">
        <x:v>4</x:v>
      </x:c>
      <x:c r="E205" s="38" t="str">
        <x:v>cost 0.0..0.0</x:v>
      </x:c>
      <x:c r="F205" s="38" t="str">
        <x:v>0.0</x:v>
      </x:c>
      <x:c r="G205" s="37" t="str">
        <x:v>descriptive_frequency</x:v>
      </x:c>
      <x:c r="H205" s="37" t="str">
        <x:v>observed_pattern</x:v>
      </x:c>
      <x:c r="I205" s="37" t="str">
        <x:v>False</x:v>
      </x:c>
    </x:row>
    <x:row r="206">
      <x:c r="A206" s="37" t="str">
        <x:v>spell_numeric</x:v>
      </x:c>
      <x:c r="B206" s="37" t="str">
        <x:v>MysticismMagic.esp</x:v>
      </x:c>
      <x:c r="C206" s="38" t="str">
        <x:v>Restoration | skill 0 | Concentration | Aimed | Value Modifier</x:v>
      </x:c>
      <x:c r="D206" s="37" t="str">
        <x:v>4</x:v>
      </x:c>
      <x:c r="E206" s="38" t="str">
        <x:v>cost 0.0..20.0</x:v>
      </x:c>
      <x:c r="F206" s="38" t="str">
        <x:v>12.5</x:v>
      </x:c>
      <x:c r="G206" s="37" t="str">
        <x:v>descriptive_frequency</x:v>
      </x:c>
      <x:c r="H206" s="37" t="str">
        <x:v>observed_pattern</x:v>
      </x:c>
      <x:c r="I206" s="37" t="str">
        <x:v>False</x:v>
      </x:c>
    </x:row>
    <x:row r="207">
      <x:c r="A207" s="37" t="str">
        <x:v>spell_numeric</x:v>
      </x:c>
      <x:c r="B207" s="37" t="str">
        <x:v>MysticismMagic.esp</x:v>
      </x:c>
      <x:c r="C207" s="38" t="str">
        <x:v>Restoration | skill 0 | Concentration | Self | Value Modifier</x:v>
      </x:c>
      <x:c r="D207" s="37" t="str">
        <x:v>3</x:v>
      </x:c>
      <x:c r="E207" s="38" t="str">
        <x:v>cost 20.0..20.0</x:v>
      </x:c>
      <x:c r="F207" s="38" t="str">
        <x:v>20.0</x:v>
      </x:c>
      <x:c r="G207" s="37" t="str">
        <x:v>descriptive_frequency</x:v>
      </x:c>
      <x:c r="H207" s="37" t="str">
        <x:v>observed_pattern</x:v>
      </x:c>
      <x:c r="I207" s="37" t="str">
        <x:v>False</x:v>
      </x:c>
    </x:row>
    <x:row r="208">
      <x:c r="A208" s="37" t="str">
        <x:v>spell_numeric</x:v>
      </x:c>
      <x:c r="B208" s="37" t="str">
        <x:v>MysticismMagic.esp</x:v>
      </x:c>
      <x:c r="C208" s="38" t="str">
        <x:v>Restoration | skill 0 | Fire and Forget | Touch | Peak Value Modifier</x:v>
      </x:c>
      <x:c r="D208" s="37" t="str">
        <x:v>4</x:v>
      </x:c>
      <x:c r="E208" s="38" t="str">
        <x:v>cost 0.0..1.0</x:v>
      </x:c>
      <x:c r="F208" s="38" t="str">
        <x:v>0.5</x:v>
      </x:c>
      <x:c r="G208" s="37" t="str">
        <x:v>descriptive_frequency</x:v>
      </x:c>
      <x:c r="H208" s="37" t="str">
        <x:v>observed_pattern</x:v>
      </x:c>
      <x:c r="I208" s="37" t="str">
        <x:v>False</x:v>
      </x:c>
    </x:row>
    <x:row r="209">
      <x:c r="A209" s="37" t="str">
        <x:v>spell_numeric</x:v>
      </x:c>
      <x:c r="B209" s="37" t="str">
        <x:v>MysticismMagic.esp</x:v>
      </x:c>
      <x:c r="C209" s="38" t="str">
        <x:v>Restoration | skill 0 | Fire and Forget | Touch | Value Modifier</x:v>
      </x:c>
      <x:c r="D209" s="37" t="str">
        <x:v>4</x:v>
      </x:c>
      <x:c r="E209" s="38" t="str">
        <x:v>cost 10.0..134.0</x:v>
      </x:c>
      <x:c r="F209" s="38" t="str">
        <x:v>39.0</x:v>
      </x:c>
      <x:c r="G209" s="37" t="str">
        <x:v>descriptive_frequency</x:v>
      </x:c>
      <x:c r="H209" s="37" t="str">
        <x:v>observed_pattern</x:v>
      </x:c>
      <x:c r="I209" s="37" t="str">
        <x:v>False</x:v>
      </x:c>
    </x:row>
    <x:row r="210">
      <x:c r="A210" s="37" t="str">
        <x:v>spell_numeric</x:v>
      </x:c>
      <x:c r="B210" s="37" t="str">
        <x:v>MysticismMagic.esp</x:v>
      </x:c>
      <x:c r="C210" s="38" t="str">
        <x:v>Restoration | skill 100 | Fire and Forget | Aimed | Value Modifier</x:v>
      </x:c>
      <x:c r="D210" s="37" t="str">
        <x:v>4</x:v>
      </x:c>
      <x:c r="E210" s="38" t="str">
        <x:v>cost 372.0..426.0</x:v>
      </x:c>
      <x:c r="F210" s="38" t="str">
        <x:v>405.0</x:v>
      </x:c>
      <x:c r="G210" s="37" t="str">
        <x:v>descriptive_frequency</x:v>
      </x:c>
      <x:c r="H210" s="37" t="str">
        <x:v>observed_pattern</x:v>
      </x:c>
      <x:c r="I210" s="37" t="str">
        <x:v>False</x:v>
      </x:c>
    </x:row>
    <x:row r="211">
      <x:c r="A211" s="37" t="str">
        <x:v>spell_numeric</x:v>
      </x:c>
      <x:c r="B211" s="37" t="str">
        <x:v>MysticismMagic.esp</x:v>
      </x:c>
      <x:c r="C211" s="38" t="str">
        <x:v>Restoration | skill 100 | Fire and Forget | Self | Script</x:v>
      </x:c>
      <x:c r="D211" s="37" t="str">
        <x:v>6</x:v>
      </x:c>
      <x:c r="E211" s="38" t="str">
        <x:v>cost 630.0..868.0</x:v>
      </x:c>
      <x:c r="F211" s="38" t="str">
        <x:v>651.0</x:v>
      </x:c>
      <x:c r="G211" s="37" t="str">
        <x:v>descriptive_frequency</x:v>
      </x:c>
      <x:c r="H211" s="37" t="str">
        <x:v>observed_pattern</x:v>
      </x:c>
      <x:c r="I211" s="37" t="str">
        <x:v>False</x:v>
      </x:c>
    </x:row>
    <x:row r="212">
      <x:c r="A212" s="37" t="str">
        <x:v>spell_numeric</x:v>
      </x:c>
      <x:c r="B212" s="37" t="str">
        <x:v>MysticismMagic.esp</x:v>
      </x:c>
      <x:c r="C212" s="38" t="str">
        <x:v>Restoration | skill 25 | Fire and Forget | Aimed | Turn Undead</x:v>
      </x:c>
      <x:c r="D212" s="37" t="str">
        <x:v>3</x:v>
      </x:c>
      <x:c r="E212" s="38" t="str">
        <x:v>cost 138.0..138.0</x:v>
      </x:c>
      <x:c r="F212" s="38" t="str">
        <x:v>138.0</x:v>
      </x:c>
      <x:c r="G212" s="37" t="str">
        <x:v>descriptive_frequency</x:v>
      </x:c>
      <x:c r="H212" s="37" t="str">
        <x:v>observed_pattern</x:v>
      </x:c>
      <x:c r="I212" s="37" t="str">
        <x:v>False</x:v>
      </x:c>
    </x:row>
    <x:row r="213">
      <x:c r="A213" s="37" t="str">
        <x:v>spell_numeric</x:v>
      </x:c>
      <x:c r="B213" s="37" t="str">
        <x:v>MysticismMagic.esp</x:v>
      </x:c>
      <x:c r="C213" s="38" t="str">
        <x:v>Restoration | skill 25 | Fire and Forget | Aimed | Value Modifier</x:v>
      </x:c>
      <x:c r="D213" s="37" t="str">
        <x:v>3</x:v>
      </x:c>
      <x:c r="E213" s="38" t="str">
        <x:v>cost 45.0..68.0</x:v>
      </x:c>
      <x:c r="F213" s="38" t="str">
        <x:v>50.0</x:v>
      </x:c>
      <x:c r="G213" s="37" t="str">
        <x:v>descriptive_frequency</x:v>
      </x:c>
      <x:c r="H213" s="37" t="str">
        <x:v>observed_pattern</x:v>
      </x:c>
      <x:c r="I213" s="37" t="str">
        <x:v>False</x:v>
      </x:c>
    </x:row>
    <x:row r="214">
      <x:c r="A214" s="37" t="str">
        <x:v>spell_numeric</x:v>
      </x:c>
      <x:c r="B214" s="37" t="str">
        <x:v>MysticismMagic.esp</x:v>
      </x:c>
      <x:c r="C214" s="38" t="str">
        <x:v>Restoration | skill 50 | Fire and Forget | Aimed | Turn Undead</x:v>
      </x:c>
      <x:c r="D214" s="37" t="str">
        <x:v>4</x:v>
      </x:c>
      <x:c r="E214" s="38" t="str">
        <x:v>cost 205.0..263.0</x:v>
      </x:c>
      <x:c r="F214" s="38" t="str">
        <x:v>263.0</x:v>
      </x:c>
      <x:c r="G214" s="37" t="str">
        <x:v>descriptive_frequency</x:v>
      </x:c>
      <x:c r="H214" s="37" t="str">
        <x:v>observed_pattern</x:v>
      </x:c>
      <x:c r="I214" s="37" t="str">
        <x:v>False</x:v>
      </x:c>
    </x:row>
    <x:row r="215">
      <x:c r="A215" s="37" t="str">
        <x:v>spell_numeric</x:v>
      </x:c>
      <x:c r="B215" s="37" t="str">
        <x:v>MysticismMagic.esp</x:v>
      </x:c>
      <x:c r="C215" s="38" t="str">
        <x:v>Restoration | skill 50 | Fire and Forget | Aimed | Value Modifier</x:v>
      </x:c>
      <x:c r="D215" s="37" t="str">
        <x:v>4</x:v>
      </x:c>
      <x:c r="E215" s="38" t="str">
        <x:v>cost 118.0..150.0</x:v>
      </x:c>
      <x:c r="F215" s="38" t="str">
        <x:v>132.5</x:v>
      </x:c>
      <x:c r="G215" s="37" t="str">
        <x:v>descriptive_frequency</x:v>
      </x:c>
      <x:c r="H215" s="37" t="str">
        <x:v>observed_pattern</x:v>
      </x:c>
      <x:c r="I215" s="37" t="str">
        <x:v>False</x:v>
      </x:c>
    </x:row>
    <x:row r="216">
      <x:c r="A216" s="37" t="str">
        <x:v>spell_numeric</x:v>
      </x:c>
      <x:c r="B216" s="37" t="str">
        <x:v>MysticismMagic.esp</x:v>
      </x:c>
      <x:c r="C216" s="38" t="str">
        <x:v>Restoration | skill 50 | Fire and Forget | Self | Script</x:v>
      </x:c>
      <x:c r="D216" s="37" t="str">
        <x:v>4</x:v>
      </x:c>
      <x:c r="E216" s="38" t="str">
        <x:v>cost 241.0..290.0</x:v>
      </x:c>
      <x:c r="F216" s="38" t="str">
        <x:v>247.5</x:v>
      </x:c>
      <x:c r="G216" s="37" t="str">
        <x:v>descriptive_frequency</x:v>
      </x:c>
      <x:c r="H216" s="37" t="str">
        <x:v>observed_pattern</x:v>
      </x:c>
      <x:c r="I216" s="37" t="str">
        <x:v>False</x:v>
      </x:c>
    </x:row>
    <x:row r="217">
      <x:c r="A217" s="37" t="str">
        <x:v>spell_numeric</x:v>
      </x:c>
      <x:c r="B217" s="37" t="str">
        <x:v>MysticismMagic.esp</x:v>
      </x:c>
      <x:c r="C217" s="38" t="str">
        <x:v>Restoration | skill 75 | Fire and Forget | Aimed | Value Modifier</x:v>
      </x:c>
      <x:c r="D217" s="37" t="str">
        <x:v>4</x:v>
      </x:c>
      <x:c r="E217" s="38" t="str">
        <x:v>cost 218.0..320.0</x:v>
      </x:c>
      <x:c r="F217" s="38" t="str">
        <x:v>267.0</x:v>
      </x:c>
      <x:c r="G217" s="37" t="str">
        <x:v>descriptive_frequency</x:v>
      </x:c>
      <x:c r="H217" s="37" t="str">
        <x:v>observed_pattern</x:v>
      </x:c>
      <x:c r="I217" s="37" t="str">
        <x:v>False</x:v>
      </x:c>
    </x:row>
    <x:row r="218">
      <x:c r="A218" s="37" t="str">
        <x:v>weapon_numeric</x:v>
      </x:c>
      <x:c r="B218" s="37" t="str">
        <x:v>Adamant.esp</x:v>
      </x:c>
      <x:c r="C218" s="38" t="str">
        <x:v>Bow | Marksman</x:v>
      </x:c>
      <x:c r="D218" s="37" t="str">
        <x:v>3</x:v>
      </x:c>
      <x:c r="E218" s="38" t="str">
        <x:v>damage 12.0..30.0; speed 0.875..0.875; reach 1.0..1.0; stagger 0.0..0.0</x:v>
      </x:c>
      <x:c r="F218" s="38" t="str">
        <x:v>damage=15.0; speed=0.875; reach=1.0; stagger=0.0</x:v>
      </x:c>
      <x:c r="G218" s="37" t="str">
        <x:v>descriptive_frequency</x:v>
      </x:c>
      <x:c r="H218" s="37" t="str">
        <x:v>observed_pattern</x:v>
      </x:c>
      <x:c r="I218" s="37" t="str">
        <x:v>False</x:v>
      </x:c>
    </x:row>
    <x:row r="219">
      <x:c r="A219" s="37" t="str">
        <x:v>weapon_numeric</x:v>
      </x:c>
      <x:c r="B219" s="37" t="str">
        <x:v>Adamant.esp</x:v>
      </x:c>
      <x:c r="C219" s="38" t="str">
        <x:v>OneHandAxe | OneHanded</x:v>
      </x:c>
      <x:c r="D219" s="37" t="str">
        <x:v>3</x:v>
      </x:c>
      <x:c r="E219" s="38" t="str">
        <x:v>damage 10.0..26.0; speed 0.8999999761581421..0.8999999761581421; reach 1.0..1.0; stagger 0.8500000238418579..0.8500000238418579</x:v>
      </x:c>
      <x:c r="F219" s="38" t="str">
        <x:v>damage=13.0; speed=0.8999999761581421; reach=1.0; stagger=0.8500000238418579</x:v>
      </x:c>
      <x:c r="G219" s="37" t="str">
        <x:v>descriptive_frequency</x:v>
      </x:c>
      <x:c r="H219" s="37" t="str">
        <x:v>observed_pattern</x:v>
      </x:c>
      <x:c r="I219" s="37" t="str">
        <x:v>False</x:v>
      </x:c>
    </x:row>
    <x:row r="220">
      <x:c r="A220" s="37" t="str">
        <x:v>weapon_numeric</x:v>
      </x:c>
      <x:c r="B220" s="37" t="str">
        <x:v>Adamant.esp</x:v>
      </x:c>
      <x:c r="C220" s="38" t="str">
        <x:v>OneHandDagger | OneHanded</x:v>
      </x:c>
      <x:c r="D220" s="37" t="str">
        <x:v>3</x:v>
      </x:c>
      <x:c r="E220" s="38" t="str">
        <x:v>damage 6.0..22.0; speed 1.2999999523162842..1.2999999523162842; reach 0.699999988079071..0.699999988079071; stagger 0.0..0.0</x:v>
      </x:c>
      <x:c r="F220" s="38" t="str">
        <x:v>damage=10.0; speed=1.2999999523162842; reach=0.699999988079071; stagger=0.0</x:v>
      </x:c>
      <x:c r="G220" s="37" t="str">
        <x:v>descriptive_frequency</x:v>
      </x:c>
      <x:c r="H220" s="37" t="str">
        <x:v>observed_pattern</x:v>
      </x:c>
      <x:c r="I220" s="37" t="str">
        <x:v>False</x:v>
      </x:c>
    </x:row>
    <x:row r="221">
      <x:c r="A221" s="37" t="str">
        <x:v>weapon_numeric</x:v>
      </x:c>
      <x:c r="B221" s="37" t="str">
        <x:v>Adamant.esp</x:v>
      </x:c>
      <x:c r="C221" s="38" t="str">
        <x:v>OneHandMace | OneHanded</x:v>
      </x:c>
      <x:c r="D221" s="37" t="str">
        <x:v>3</x:v>
      </x:c>
      <x:c r="E221" s="38" t="str">
        <x:v>damage 11.0..27.0; speed 0.800000011920929..0.800000011920929; reach 1.0..1.0; stagger 1.0..1.0</x:v>
      </x:c>
      <x:c r="F221" s="38" t="str">
        <x:v>damage=14.0; speed=0.800000011920929; reach=1.0; stagger=1.0</x:v>
      </x:c>
      <x:c r="G221" s="37" t="str">
        <x:v>descriptive_frequency</x:v>
      </x:c>
      <x:c r="H221" s="37" t="str">
        <x:v>observed_pattern</x:v>
      </x:c>
      <x:c r="I221" s="37" t="str">
        <x:v>False</x:v>
      </x:c>
    </x:row>
    <x:row r="222">
      <x:c r="A222" s="37" t="str">
        <x:v>weapon_numeric</x:v>
      </x:c>
      <x:c r="B222" s="37" t="str">
        <x:v>Adamant.esp</x:v>
      </x:c>
      <x:c r="C222" s="38" t="str">
        <x:v>OneHandSword | OneHanded</x:v>
      </x:c>
      <x:c r="D222" s="37" t="str">
        <x:v>3</x:v>
      </x:c>
      <x:c r="E222" s="38" t="str">
        <x:v>damage 9.0..25.0; speed 1.0..1.0; reach 1.0..1.0; stagger 0.75..0.75</x:v>
      </x:c>
      <x:c r="F222" s="38" t="str">
        <x:v>damage=12.0; speed=1.0; reach=1.0; stagger=0.75</x:v>
      </x:c>
      <x:c r="G222" s="37" t="str">
        <x:v>descriptive_frequency</x:v>
      </x:c>
      <x:c r="H222" s="37" t="str">
        <x:v>observed_pattern</x:v>
      </x:c>
      <x:c r="I222" s="37" t="str">
        <x:v>False</x:v>
      </x:c>
    </x:row>
    <x:row r="223">
      <x:c r="A223" s="37" t="str">
        <x:v>weapon_numeric</x:v>
      </x:c>
      <x:c r="B223" s="37" t="str">
        <x:v>Adamant.esp</x:v>
      </x:c>
      <x:c r="C223" s="38" t="str">
        <x:v>TwoHandAxe | TwoHanded</x:v>
      </x:c>
      <x:c r="D223" s="37" t="str">
        <x:v>6</x:v>
      </x:c>
      <x:c r="E223" s="38" t="str">
        <x:v>damage 18.0..38.0; speed 0.6000000238418579..0.699999988079071; reach 1.2999999523162842..1.2999999523162842; stagger 1.149999976158142..1.25</x:v>
      </x:c>
      <x:c r="F223" s="38" t="str">
        <x:v>damage=22.0; speed=0.6500000059604645; reach=1.2999999523162842; stagger=1.199999988079071</x:v>
      </x:c>
      <x:c r="G223" s="37" t="str">
        <x:v>descriptive_frequency</x:v>
      </x:c>
      <x:c r="H223" s="37" t="str">
        <x:v>observed_pattern</x:v>
      </x:c>
      <x:c r="I223" s="37" t="str">
        <x:v>False</x:v>
      </x:c>
    </x:row>
    <x:row r="224">
      <x:c r="A224" s="37" t="str">
        <x:v>weapon_numeric</x:v>
      </x:c>
      <x:c r="B224" s="37" t="str">
        <x:v>Adamant.esp</x:v>
      </x:c>
      <x:c r="C224" s="38" t="str">
        <x:v>TwoHandSword | TwoHanded</x:v>
      </x:c>
      <x:c r="D224" s="37" t="str">
        <x:v>3</x:v>
      </x:c>
      <x:c r="E224" s="38" t="str">
        <x:v>damage 17.0..35.0; speed 0.75..0.75; reach 1.2999999523162842..1.2999999523162842; stagger 1.149999976158142..1.149999976158142</x:v>
      </x:c>
      <x:c r="F224" s="38" t="str">
        <x:v>damage=20.0; speed=0.75; reach=1.2999999523162842; stagger=1.149999976158142</x:v>
      </x:c>
      <x:c r="G224" s="37" t="str">
        <x:v>descriptive_frequency</x:v>
      </x:c>
      <x:c r="H224" s="37" t="str">
        <x:v>observed_pattern</x:v>
      </x:c>
      <x:c r="I224" s="37" t="str">
        <x:v>False</x:v>
      </x:c>
    </x:row>
    <x:row r="225">
      <x:c r="A225" s="37" t="str">
        <x:v>weapon_numeric</x:v>
      </x:c>
      <x:c r="B225" s="37" t="str">
        <x:v>MysticismMagic.esp</x:v>
      </x:c>
      <x:c r="C225" s="38" t="str">
        <x:v>Bow | Marksman</x:v>
      </x:c>
      <x:c r="D225" s="37" t="str">
        <x:v>5</x:v>
      </x:c>
      <x:c r="E225" s="38" t="str">
        <x:v>damage 12.0..20.0; speed 0.5..0.875; reach 1.0..1.0; stagger 0.0..0.0</x:v>
      </x:c>
      <x:c r="F225" s="38" t="str">
        <x:v>damage=19.0; speed=0.75; reach=1.0; stagger=0.0</x:v>
      </x:c>
      <x:c r="G225" s="37" t="str">
        <x:v>descriptive_frequency</x:v>
      </x:c>
      <x:c r="H225" s="37" t="str">
        <x:v>observed_pattern</x:v>
      </x:c>
      <x:c r="I225" s="37" t="str">
        <x:v>False</x:v>
      </x:c>
    </x:row>
    <x:row r="226">
      <x:c r="A226" s="37" t="str">
        <x:v>weapon_numeric</x:v>
      </x:c>
      <x:c r="B226" s="37" t="str">
        <x:v>MysticismMagic.esp</x:v>
      </x:c>
      <x:c r="C226" s="38" t="str">
        <x:v>OneHandAxe | OneHanded</x:v>
      </x:c>
      <x:c r="D226" s="37" t="str">
        <x:v>3</x:v>
      </x:c>
      <x:c r="E226" s="38" t="str">
        <x:v>damage 10.0..16.0; speed 0.8999999761581421..0.8999999761581421; reach 1.0..1.0; stagger 0.8500000238418579..0.8500000238418579</x:v>
      </x:c>
      <x:c r="F226" s="38" t="str">
        <x:v>damage=13.0; speed=0.8999999761581421; reach=1.0; stagger=0.8500000238418579</x:v>
      </x:c>
      <x:c r="G226" s="37" t="str">
        <x:v>descriptive_frequency</x:v>
      </x:c>
      <x:c r="H226" s="37" t="str">
        <x:v>observed_pattern</x:v>
      </x:c>
      <x:c r="I226" s="37" t="str">
        <x:v>False</x:v>
      </x:c>
    </x:row>
    <x:row r="227">
      <x:c r="A227" s="37" t="str">
        <x:v>weapon_numeric</x:v>
      </x:c>
      <x:c r="B227" s="37" t="str">
        <x:v>MysticismMagic.esp</x:v>
      </x:c>
      <x:c r="C227" s="38" t="str">
        <x:v>OneHandMace | OneHanded</x:v>
      </x:c>
      <x:c r="D227" s="37" t="str">
        <x:v>3</x:v>
      </x:c>
      <x:c r="E227" s="38" t="str">
        <x:v>damage 11.0..14.0; speed 0.800000011920929..0.800000011920929; reach 1.0..1.0; stagger 1.0..1.0</x:v>
      </x:c>
      <x:c r="F227" s="38" t="str">
        <x:v>damage=12.0; speed=0.800000011920929; reach=1.0; stagger=1.0</x:v>
      </x:c>
      <x:c r="G227" s="37" t="str">
        <x:v>descriptive_frequency</x:v>
      </x:c>
      <x:c r="H227" s="37" t="str">
        <x:v>observed_pattern</x:v>
      </x:c>
      <x:c r="I227" s="37" t="str">
        <x:v>False</x:v>
      </x:c>
    </x:row>
    <x:row r="228">
      <x:c r="A228" s="37" t="str">
        <x:v>weapon_numeric</x:v>
      </x:c>
      <x:c r="B228" s="37" t="str">
        <x:v>MysticismMagic.esp</x:v>
      </x:c>
      <x:c r="C228" s="38" t="str">
        <x:v>OneHandSword | OneHanded</x:v>
      </x:c>
      <x:c r="D228" s="37" t="str">
        <x:v>3</x:v>
      </x:c>
      <x:c r="E228" s="38" t="str">
        <x:v>damage 9.0..16.0; speed 1.0..1.0; reach 1.0..1.0; stagger 0.75..0.75</x:v>
      </x:c>
      <x:c r="F228" s="38" t="str">
        <x:v>damage=12.0; speed=1.0; reach=1.0; stagger=0.75</x:v>
      </x:c>
      <x:c r="G228" s="37" t="str">
        <x:v>descriptive_frequency</x:v>
      </x:c>
      <x:c r="H228" s="37" t="str">
        <x:v>observed_pattern</x:v>
      </x:c>
      <x:c r="I228" s="37" t="str">
        <x:v>False</x:v>
      </x:c>
    </x:row>
    <x:row r="229">
      <x:c r="A229" s="37" t="str">
        <x:v>weapon_numeric</x:v>
      </x:c>
      <x:c r="B229" s="37" t="str">
        <x:v>MysticismMagic.esp</x:v>
      </x:c>
      <x:c r="C229" s="38" t="str">
        <x:v>Staff | Alteration</x:v>
      </x:c>
      <x:c r="D229" s="37" t="str">
        <x:v>22</x:v>
      </x:c>
      <x:c r="E229" s="38" t="str">
        <x:v>damage 0.0..0.0; speed 1.0..1.0; reach 1.2999999523162842..1.2999999523162842; stagger 0.0..0.0</x:v>
      </x:c>
      <x:c r="F229" s="38" t="str">
        <x:v>damage=0.0; speed=1.0; reach=1.2999999523162842; stagger=0.0</x:v>
      </x:c>
      <x:c r="G229" s="37" t="str">
        <x:v>descriptive_frequency</x:v>
      </x:c>
      <x:c r="H229" s="37" t="str">
        <x:v>observed_pattern</x:v>
      </x:c>
      <x:c r="I229" s="37" t="str">
        <x:v>False</x:v>
      </x:c>
    </x:row>
    <x:row r="230">
      <x:c r="A230" s="37" t="str">
        <x:v>weapon_numeric</x:v>
      </x:c>
      <x:c r="B230" s="37" t="str">
        <x:v>MysticismMagic.esp</x:v>
      </x:c>
      <x:c r="C230" s="38" t="str">
        <x:v>Staff | Conjuration</x:v>
      </x:c>
      <x:c r="D230" s="37" t="str">
        <x:v>47</x:v>
      </x:c>
      <x:c r="E230" s="38" t="str">
        <x:v>damage 0.0..0.0; speed 1.0..1.0; reach 1.2999999523162842..1.2999999523162842; stagger 0.0..0.0</x:v>
      </x:c>
      <x:c r="F230" s="38" t="str">
        <x:v>damage=0.0; speed=1.0; reach=1.2999999523162842; stagger=0.0</x:v>
      </x:c>
      <x:c r="G230" s="37" t="str">
        <x:v>descriptive_frequency</x:v>
      </x:c>
      <x:c r="H230" s="37" t="str">
        <x:v>observed_pattern</x:v>
      </x:c>
      <x:c r="I230" s="37" t="str">
        <x:v>False</x:v>
      </x:c>
    </x:row>
    <x:row r="231">
      <x:c r="A231" s="37" t="str">
        <x:v>weapon_numeric</x:v>
      </x:c>
      <x:c r="B231" s="37" t="str">
        <x:v>MysticismMagic.esp</x:v>
      </x:c>
      <x:c r="C231" s="38" t="str">
        <x:v>Staff | Destruction</x:v>
      </x:c>
      <x:c r="D231" s="37" t="str">
        <x:v>43</x:v>
      </x:c>
      <x:c r="E231" s="38" t="str">
        <x:v>damage 0.0..0.0; speed 1.0..1.0; reach 1.2999999523162842..1.2999999523162842; stagger 0.0..0.0</x:v>
      </x:c>
      <x:c r="F231" s="38" t="str">
        <x:v>damage=0.0; speed=1.0; reach=1.2999999523162842; stagger=0.0</x:v>
      </x:c>
      <x:c r="G231" s="37" t="str">
        <x:v>descriptive_frequency</x:v>
      </x:c>
      <x:c r="H231" s="37" t="str">
        <x:v>observed_pattern</x:v>
      </x:c>
      <x:c r="I231" s="37" t="str">
        <x:v>False</x:v>
      </x:c>
    </x:row>
    <x:row r="232">
      <x:c r="A232" s="37" t="str">
        <x:v>weapon_numeric</x:v>
      </x:c>
      <x:c r="B232" s="37" t="str">
        <x:v>MysticismMagic.esp</x:v>
      </x:c>
      <x:c r="C232" s="38" t="str">
        <x:v>Staff | Illusion</x:v>
      </x:c>
      <x:c r="D232" s="37" t="str">
        <x:v>27</x:v>
      </x:c>
      <x:c r="E232" s="38" t="str">
        <x:v>damage 0.0..0.0; speed 1.0..1.0; reach 1.2999999523162842..1.2999999523162842; stagger 0.0..0.0</x:v>
      </x:c>
      <x:c r="F232" s="38" t="str">
        <x:v>damage=0.0; speed=1.0; reach=1.2999999523162842; stagger=0.0</x:v>
      </x:c>
      <x:c r="G232" s="37" t="str">
        <x:v>descriptive_frequency</x:v>
      </x:c>
      <x:c r="H232" s="37" t="str">
        <x:v>observed_pattern</x:v>
      </x:c>
      <x:c r="I232" s="37" t="str">
        <x:v>False</x:v>
      </x:c>
    </x:row>
    <x:row r="233">
      <x:c r="A233" s="37" t="str">
        <x:v>weapon_numeric</x:v>
      </x:c>
      <x:c r="B233" s="37" t="str">
        <x:v>MysticismMagic.esp</x:v>
      </x:c>
      <x:c r="C233" s="38" t="str">
        <x:v>Staff | Restoration</x:v>
      </x:c>
      <x:c r="D233" s="37" t="str">
        <x:v>26</x:v>
      </x:c>
      <x:c r="E233" s="38" t="str">
        <x:v>damage 0.0..0.0; speed 1.0..1.0; reach 1.2999999523162842..1.2999999523162842; stagger 0.0..0.0</x:v>
      </x:c>
      <x:c r="F233" s="38" t="str">
        <x:v>damage=0.0; speed=1.0; reach=1.2999999523162842; stagger=0.0</x:v>
      </x:c>
      <x:c r="G233" s="37" t="str">
        <x:v>descriptive_frequency</x:v>
      </x:c>
      <x:c r="H233" s="37" t="str">
        <x:v>observed_pattern</x:v>
      </x:c>
      <x:c r="I233" s="37" t="str">
        <x:v>False</x:v>
      </x:c>
    </x:row>
    <x:row r="234">
      <x:c r="A234" s="37" t="str">
        <x:v>weapon_numeric</x:v>
      </x:c>
      <x:c r="B234" s="37" t="str">
        <x:v>MysticismMagic.esp</x:v>
      </x:c>
      <x:c r="C234" s="38" t="str">
        <x:v>TwoHandAxe | TwoHanded</x:v>
      </x:c>
      <x:c r="D234" s="37" t="str">
        <x:v>6</x:v>
      </x:c>
      <x:c r="E234" s="38" t="str">
        <x:v>damage 18.0..23.0; speed 0.6000000238418579..0.699999988079071; reach 1.2999999523162842..1.2999999523162842; stagger 1.149999976158142..1.25</x:v>
      </x:c>
      <x:c r="F234" s="38" t="str">
        <x:v>damage=21.0; speed=0.6500000059604645; reach=1.2999999523162842; stagger=1.199999988079071</x:v>
      </x:c>
      <x:c r="G234" s="37" t="str">
        <x:v>descriptive_frequency</x:v>
      </x:c>
      <x:c r="H234" s="37" t="str">
        <x:v>observed_pattern</x:v>
      </x:c>
      <x:c r="I234" s="37" t="str">
        <x:v>False</x:v>
      </x:c>
    </x:row>
    <x:row r="235">
      <x:c r="A235" s="37" t="str">
        <x:v>weapon_numeric</x:v>
      </x:c>
      <x:c r="B235" s="37" t="str">
        <x:v>MysticismMagic.esp</x:v>
      </x:c>
      <x:c r="C235" s="38" t="str">
        <x:v>TwoHandSword | TwoHanded</x:v>
      </x:c>
      <x:c r="D235" s="37" t="str">
        <x:v>3</x:v>
      </x:c>
      <x:c r="E235" s="38" t="str">
        <x:v>damage 17.0..20.0; speed 0.699999988079071..0.75; reach 1.2999999523162842..1.2999999523162842; stagger 1.100000023841858..1.100000023841858</x:v>
      </x:c>
      <x:c r="F235" s="38" t="str">
        <x:v>damage=20.0; speed=0.75; reach=1.2999999523162842; stagger=1.100000023841858</x:v>
      </x:c>
      <x:c r="G235" s="37" t="str">
        <x:v>descriptive_frequency</x:v>
      </x:c>
      <x:c r="H235" s="37" t="str">
        <x:v>observed_pattern</x:v>
      </x:c>
      <x:c r="I235" s="37" t="str">
        <x:v>False</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24" hidden="0" customWidth="1"/>
    <x:col min="2" max="2" width="24" hidden="0" customWidth="1"/>
    <x:col min="3" max="3" width="14" hidden="0" customWidth="1"/>
    <x:col min="4" max="4" width="24" hidden="0" customWidth="1"/>
    <x:col min="5" max="5" width="24" hidden="0" customWidth="1"/>
    <x:col min="6" max="6" width="20" hidden="0" customWidth="1"/>
    <x:col min="7" max="7" width="24" hidden="0" customWidth="1"/>
    <x:col min="8" max="8" width="38" hidden="0" customWidth="1"/>
    <x:col min="9" max="9" width="14" hidden="0" customWidth="1"/>
    <x:col min="10" max="10" width="14" hidden="0" customWidth="1"/>
    <x:col min="11" max="11" width="14" hidden="0" customWidth="1"/>
    <x:col min="12" max="12" width="14" hidden="0" customWidth="1"/>
  </x:cols>
  <x:sheetData>
    <x:row r="1">
      <x:c r="A1" s="36" t="str">
        <x:v>evidence_id</x:v>
      </x:c>
      <x:c r="B1" s="36" t="str">
        <x:v>mod</x:v>
      </x:c>
      <x:c r="C1" s="36" t="str">
        <x:v>version</x:v>
      </x:c>
      <x:c r="D1" s="36" t="str">
        <x:v>scope</x:v>
      </x:c>
      <x:c r="E1" s="36" t="str">
        <x:v>evidence_kind</x:v>
      </x:c>
      <x:c r="F1" s="36" t="str">
        <x:v>module_role</x:v>
      </x:c>
      <x:c r="G1" s="36" t="str">
        <x:v>option</x:v>
      </x:c>
      <x:c r="H1" s="36" t="str">
        <x:v>claim</x:v>
      </x:c>
      <x:c r="I1" s="36" t="str">
        <x:v>source_folder</x:v>
      </x:c>
      <x:c r="J1" s="36" t="str">
        <x:v>evidence_stage</x:v>
      </x:c>
      <x:c r="K1" s="36" t="str">
        <x:v>confidence</x:v>
      </x:c>
      <x:c r="L1" s="36" t="str">
        <x:v>rule_status</x:v>
      </x:c>
    </x:row>
    <x:row r="2">
      <x:c r="A2" s="37" t="str">
        <x:v>FOMOD-001</x:v>
      </x:c>
      <x:c r="B2" s="37" t="str">
        <x:v>Blade and Blunt</x:v>
      </x:c>
      <x:c r="C2" s="37" t="str">
        <x:v>4.0.3</x:v>
      </x:c>
      <x:c r="D2" s="37" t="str">
        <x:v>Main File</x:v>
      </x:c>
      <x:c r="E2" s="37" t="str">
        <x:v>fomod_option_description</x:v>
      </x:c>
      <x:c r="F2" s="37" t="str">
        <x:v>main</x:v>
      </x:c>
      <x:c r="G2" s="37" t="str">
        <x:v>Blade and Blunt - A Combat Overhaul</x:v>
      </x:c>
      <x:c r="H2" s="38" t="str">
        <x:v>This is the main file for Blade and Blunt - A Combat Overhaul.</x:v>
      </x:c>
      <x:c r="I2" s="37" t="str">
        <x:v>main</x:v>
      </x:c>
      <x:c r="J2" s="37" t="str">
        <x:v>decoded</x:v>
      </x:c>
      <x:c r="K2" s="37" t="str">
        <x:v>high</x:v>
      </x:c>
      <x:c r="L2" s="37" t="str">
        <x:v>evidence_only_not_rule</x:v>
      </x:c>
    </x:row>
    <x:row r="3">
      <x:c r="A3" s="37" t="str">
        <x:v>FOMOD-002</x:v>
      </x:c>
      <x:c r="B3" s="37" t="str">
        <x:v>Blade and Blunt</x:v>
      </x:c>
      <x:c r="C3" s="37" t="str">
        <x:v>4.0.3</x:v>
      </x:c>
      <x:c r="D3" s="37" t="str">
        <x:v>Module Files</x:v>
      </x:c>
      <x:c r="E3" s="37" t="str">
        <x:v>fomod_option_description</x:v>
      </x:c>
      <x:c r="F3" s="37" t="str">
        <x:v>reversion</x:v>
      </x:c>
      <x:c r="G3" s="37" t="str">
        <x:v>No Kill Moves</x:v>
      </x:c>
      <x:c r="H3" s="38" t="str">
        <x:v>This optional file disables all kill moves, including ranged kill moves, without breaking the main quest.</x:v>
      </x:c>
      <x:c r="I3" s="37" t="str">
        <x:v>module no kill moves</x:v>
      </x:c>
      <x:c r="J3" s="37" t="str">
        <x:v>decoded</x:v>
      </x:c>
      <x:c r="K3" s="37" t="str">
        <x:v>high</x:v>
      </x:c>
      <x:c r="L3" s="37" t="str">
        <x:v>evidence_only_not_rule</x:v>
      </x:c>
    </x:row>
    <x:row r="4">
      <x:c r="A4" s="37" t="str">
        <x:v>FOMOD-003</x:v>
      </x:c>
      <x:c r="B4" s="37" t="str">
        <x:v>Blade and Blunt</x:v>
      </x:c>
      <x:c r="C4" s="37" t="str">
        <x:v>4.0.3</x:v>
      </x:c>
      <x:c r="D4" s="37" t="str">
        <x:v>Stamina Changes</x:v>
      </x:c>
      <x:c r="E4" s="37" t="str">
        <x:v>fomod_option_description</x:v>
      </x:c>
      <x:c r="F4" s="37" t="str">
        <x:v>reversion</x:v>
      </x:c>
      <x:c r="G4" s="37" t="str">
        <x:v>No Power Attack Changes</x:v>
      </x:c>
      <x:c r="H4" s="38" t="str">
        <x:v>Blade and Blunt changes the cost of power attacks. However, this change is not compatible with Ordinator's perks that reduce the cost of power attacking by a flat value. This addon reverts Blade and Blunt's changes to power attack cost back to Vanilla. Not recommended unless you are using Ordinator.</x:v>
      </x:c>
      <x:c r="I4" s="37" t="str">
        <x:v>module no power attack changes</x:v>
      </x:c>
      <x:c r="J4" s="37" t="str">
        <x:v>decoded</x:v>
      </x:c>
      <x:c r="K4" s="37" t="str">
        <x:v>high</x:v>
      </x:c>
      <x:c r="L4" s="37" t="str">
        <x:v>evidence_only_not_rule</x:v>
      </x:c>
    </x:row>
    <x:row r="5">
      <x:c r="A5" s="37" t="str">
        <x:v>FOMOD-004</x:v>
      </x:c>
      <x:c r="B5" s="37" t="str">
        <x:v>Blade and Blunt</x:v>
      </x:c>
      <x:c r="C5" s="37" t="str">
        <x:v>4.0.3</x:v>
      </x:c>
      <x:c r="D5" s="37" t="str">
        <x:v>Stamina Changes</x:v>
      </x:c>
      <x:c r="E5" s="37" t="str">
        <x:v>fomod_option_description</x:v>
      </x:c>
      <x:c r="F5" s="37" t="str">
        <x:v>reversion</x:v>
      </x:c>
      <x:c r="G5" s="37" t="str">
        <x:v>No Sprinting Changes</x:v>
      </x:c>
      <x:c r="H5" s="38" t="str">
        <x:v>Blade and Blunt makes several changes to the Stamina cost of sprinting. This addon reverts those changes, for compatibility with mods such as Horseback or Unlimited sprinting.</x:v>
      </x:c>
      <x:c r="I5" s="37" t="str">
        <x:v>module no sprint changes</x:v>
      </x:c>
      <x:c r="J5" s="37" t="str">
        <x:v>decoded</x:v>
      </x:c>
      <x:c r="K5" s="37" t="str">
        <x:v>high</x:v>
      </x:c>
      <x:c r="L5" s="37" t="str">
        <x:v>evidence_only_not_rule</x:v>
      </x:c>
    </x:row>
    <x:row r="6">
      <x:c r="A6" s="37" t="str">
        <x:v>FOMOD-005</x:v>
      </x:c>
      <x:c r="B6" s="37" t="str">
        <x:v>Blade and Blunt</x:v>
      </x:c>
      <x:c r="C6" s="37" t="str">
        <x:v>4.0.3</x:v>
      </x:c>
      <x:c r="D6" s="37" t="str">
        <x:v>Stamina Changes</x:v>
      </x:c>
      <x:c r="E6" s="37" t="str">
        <x:v>fomod_option_description</x:v>
      </x:c>
      <x:c r="F6" s="37" t="str">
        <x:v>reversion</x:v>
      </x:c>
      <x:c r="G6" s="37" t="str">
        <x:v>No Casting Changes</x:v>
      </x:c>
      <x:c r="H6" s="38" t="str">
        <x:v>Blade and Blunt disables Stamina regeneration while casting. This addon reverts that change.</x:v>
      </x:c>
      <x:c r="I6" s="37" t="str">
        <x:v>module no casting changes</x:v>
      </x:c>
      <x:c r="J6" s="37" t="str">
        <x:v>decoded</x:v>
      </x:c>
      <x:c r="K6" s="37" t="str">
        <x:v>high</x:v>
      </x:c>
      <x:c r="L6" s="37" t="str">
        <x:v>evidence_only_not_rule</x:v>
      </x:c>
    </x:row>
    <x:row r="7">
      <x:c r="A7" s="37" t="str">
        <x:v>FOMOD-006</x:v>
      </x:c>
      <x:c r="B7" s="37" t="str">
        <x:v>Blade and Blunt</x:v>
      </x:c>
      <x:c r="C7" s="37" t="str">
        <x:v>4.0.3</x:v>
      </x:c>
      <x:c r="D7" s="37" t="str">
        <x:v>Stamina Changes</x:v>
      </x:c>
      <x:c r="E7" s="37" t="str">
        <x:v>fomod_option_description</x:v>
      </x:c>
      <x:c r="F7" s="37" t="str">
        <x:v>reversion</x:v>
      </x:c>
      <x:c r="G7" s="37" t="str">
        <x:v>No Stamina Cost for Sneaking</x:v>
      </x:c>
      <x:c r="H7" s="38" t="str">
        <x:v>Blade and Blunt adds a Stamina cost to sneaking. This addon reverts that change.</x:v>
      </x:c>
      <x:c r="I7" s="37" t="str">
        <x:v>module no sneak stamina</x:v>
      </x:c>
      <x:c r="J7" s="37" t="str">
        <x:v>decoded</x:v>
      </x:c>
      <x:c r="K7" s="37" t="str">
        <x:v>high</x:v>
      </x:c>
      <x:c r="L7" s="37" t="str">
        <x:v>evidence_only_not_rule</x:v>
      </x:c>
    </x:row>
    <x:row r="8">
      <x:c r="A8" s="37" t="str">
        <x:v>FOMOD-007</x:v>
      </x:c>
      <x:c r="B8" s="37" t="str">
        <x:v>Blade and Blunt</x:v>
      </x:c>
      <x:c r="C8" s="37" t="str">
        <x:v>4.0.3</x:v>
      </x:c>
      <x:c r="D8" s="37" t="str">
        <x:v>Stamina Changes</x:v>
      </x:c>
      <x:c r="E8" s="37" t="str">
        <x:v>fomod_option_description</x:v>
      </x:c>
      <x:c r="F8" s="37" t="str">
        <x:v>reversion</x:v>
      </x:c>
      <x:c r="G8" s="37" t="str">
        <x:v>No Stamina Cost for Jumping</x:v>
      </x:c>
      <x:c r="H8" s="38" t="str">
        <x:v>Blade and Blunt adds a Stamina cost to jumping. This addon reverts that change.</x:v>
      </x:c>
      <x:c r="I8" s="37" t="str">
        <x:v>module no jump stamina</x:v>
      </x:c>
      <x:c r="J8" s="37" t="str">
        <x:v>decoded</x:v>
      </x:c>
      <x:c r="K8" s="37" t="str">
        <x:v>high</x:v>
      </x:c>
      <x:c r="L8" s="37" t="str">
        <x:v>evidence_only_not_rule</x:v>
      </x:c>
    </x:row>
    <x:row r="9">
      <x:c r="A9" s="37" t="str">
        <x:v>FOMOD-008</x:v>
      </x:c>
      <x:c r="B9" s="37" t="str">
        <x:v>Blade and Blunt</x:v>
      </x:c>
      <x:c r="C9" s="37" t="str">
        <x:v>4.0.3</x:v>
      </x:c>
      <x:c r="D9" s="37" t="str">
        <x:v>Stamina Changes</x:v>
      </x:c>
      <x:c r="E9" s="37" t="str">
        <x:v>fomod_option_description</x:v>
      </x:c>
      <x:c r="F9" s="37" t="str">
        <x:v>reversion</x:v>
      </x:c>
      <x:c r="G9" s="37" t="str">
        <x:v>No Stamina Cost for Swimming</x:v>
      </x:c>
      <x:c r="H9" s="38" t="str">
        <x:v>Blade and Blunt adds a Stamina cost to swimming. This addon reverts that change.</x:v>
      </x:c>
      <x:c r="I9" s="37" t="str">
        <x:v>module no swim stamina</x:v>
      </x:c>
      <x:c r="J9" s="37" t="str">
        <x:v>decoded</x:v>
      </x:c>
      <x:c r="K9" s="37" t="str">
        <x:v>high</x:v>
      </x:c>
      <x:c r="L9" s="37" t="str">
        <x:v>evidence_only_not_rule</x:v>
      </x:c>
    </x:row>
    <x:row r="10">
      <x:c r="A10" s="37" t="str">
        <x:v>FOMOD-009</x:v>
      </x:c>
      <x:c r="B10" s="37" t="str">
        <x:v>Mysticism</x:v>
      </x:c>
      <x:c r="C10" s="37" t="str">
        <x:v>2.5.0</x:v>
      </x:c>
      <x:c r="D10" s="37" t="str">
        <x:v>Main File</x:v>
      </x:c>
      <x:c r="E10" s="37" t="str">
        <x:v>fomod_option_description</x:v>
      </x:c>
      <x:c r="F10" s="37" t="str">
        <x:v>main</x:v>
      </x:c>
      <x:c r="G10" s="37" t="str">
        <x:v>Mysticism - A Magic Overhaul</x:v>
      </x:c>
      <x:c r="H10" s="38" t="str">
        <x:v>This is the main file for Mysticism - A Magic Overhaul.</x:v>
      </x:c>
      <x:c r="I10" s="37" t="str">
        <x:v>main</x:v>
      </x:c>
      <x:c r="J10" s="37" t="str">
        <x:v>decoded</x:v>
      </x:c>
      <x:c r="K10" s="37" t="str">
        <x:v>high</x:v>
      </x:c>
      <x:c r="L10" s="37" t="str">
        <x:v>evidence_only_not_rule</x:v>
      </x:c>
    </x:row>
    <x:row r="11">
      <x:c r="A11" s="37" t="str">
        <x:v>FOMOD-010</x:v>
      </x:c>
      <x:c r="B11" s="37" t="str">
        <x:v>Mysticism</x:v>
      </x:c>
      <x:c r="C11" s="37" t="str">
        <x:v>2.5.0</x:v>
      </x:c>
      <x:c r="D11" s="37" t="str">
        <x:v>Module Files</x:v>
      </x:c>
      <x:c r="E11" s="37" t="str">
        <x:v>fomod_option_description</x:v>
      </x:c>
      <x:c r="F11" s="37" t="str">
        <x:v>optional_module</x:v>
      </x:c>
      <x:c r="G11" s="37" t="str">
        <x:v>Slower Spell Unlocks</x:v>
      </x:c>
      <x:c r="H11" s="38" t="str">
        <x:v>With this plugin installed, Apprentice spells will be available at 25 skill, Adept spells will be available at 50 skill, and Expert spells will be available at 75 skill. Master spells will continue to be available after completing the quest, which unlocks at 90 skill.</x:v>
      </x:c>
      <x:c r="I11" s="37" t="str">
        <x:v>module slow</x:v>
      </x:c>
      <x:c r="J11" s="37" t="str">
        <x:v>decoded</x:v>
      </x:c>
      <x:c r="K11" s="37" t="str">
        <x:v>high</x:v>
      </x:c>
      <x:c r="L11" s="37" t="str">
        <x:v>evidence_only_not_rule</x:v>
      </x:c>
    </x:row>
    <x:row r="12">
      <x:c r="A12" s="37" t="str">
        <x:v>FOMOD-011</x:v>
      </x:c>
      <x:c r="B12" s="37" t="str">
        <x:v>Mysticism</x:v>
      </x:c>
      <x:c r="C12" s="37" t="str">
        <x:v>2.5.0</x:v>
      </x:c>
      <x:c r="D12" s="37" t="str">
        <x:v>Module Files</x:v>
      </x:c>
      <x:c r="E12" s="37" t="str">
        <x:v>fomod_option_description</x:v>
      </x:c>
      <x:c r="F12" s="37" t="str">
        <x:v>feature_addon</x:v>
      </x:c>
      <x:c r="G12" s="37" t="str">
        <x:v>Survival Spells Addon</x:v>
      </x:c>
      <x:c r="H12" s="38" t="str">
        <x:v>Adds a few spells that allow the player to increase their Warmth. Requires Survival Mode.</x:v>
      </x:c>
      <x:c r="I12" s="37" t="str">
        <x:v>module survival</x:v>
      </x:c>
      <x:c r="J12" s="37" t="str">
        <x:v>decoded</x:v>
      </x:c>
      <x:c r="K12" s="37" t="str">
        <x:v>high</x:v>
      </x:c>
      <x:c r="L12" s="37" t="str">
        <x:v>evidence_only_not_rule</x:v>
      </x:c>
    </x:row>
    <x:row r="13">
      <x:c r="A13" s="37" t="str">
        <x:v>FOMOD-012</x:v>
      </x:c>
      <x:c r="B13" s="37" t="str">
        <x:v>Mysticism</x:v>
      </x:c>
      <x:c r="C13" s="37" t="str">
        <x:v>2.5.0</x:v>
      </x:c>
      <x:c r="D13" s="37" t="str">
        <x:v>Module Files</x:v>
      </x:c>
      <x:c r="E13" s="37" t="str">
        <x:v>fomod_option_description</x:v>
      </x:c>
      <x:c r="F13" s="37" t="str">
        <x:v>feature_addon</x:v>
      </x:c>
      <x:c r="G13" s="37" t="str">
        <x:v>Jump Spells Addon</x:v>
      </x:c>
      <x:c r="H13" s="38" t="str">
        <x:v>Adds a few spells which allows the player to fortify their Jump Height. Requires Po3Tweaks.</x:v>
      </x:c>
      <x:c r="I13" s="37" t="str">
        <x:v>module jump</x:v>
      </x:c>
      <x:c r="J13" s="37" t="str">
        <x:v>decoded</x:v>
      </x:c>
      <x:c r="K13" s="37" t="str">
        <x:v>high</x:v>
      </x:c>
      <x:c r="L13" s="37" t="str">
        <x:v>evidence_only_not_rule</x:v>
      </x:c>
    </x:row>
    <x:row r="14">
      <x:c r="A14" s="37" t="str">
        <x:v>FOMOD-013</x:v>
      </x:c>
      <x:c r="B14" s="37" t="str">
        <x:v>Mysticism</x:v>
      </x:c>
      <x:c r="C14" s="37" t="str">
        <x:v>2.5.0</x:v>
      </x:c>
      <x:c r="D14" s="37" t="str">
        <x:v>Patches</x:v>
      </x:c>
      <x:c r="E14" s="37" t="str">
        <x:v>fomod_option_description</x:v>
      </x:c>
      <x:c r="F14" s="37" t="str">
        <x:v>compatibility_patch</x:v>
      </x:c>
      <x:c r="G14" s="37" t="str">
        <x:v>Ordinator Patch</x:v>
      </x:c>
      <x:c r="H14" s="38" t="str">
        <x:v>A patch for Mysticism and Ordinator. The Vokrii patches are handled by the author on the Vokrii page.</x:v>
      </x:c>
      <x:c r="I14" s="37" t="str">
        <x:v>module ordinator</x:v>
      </x:c>
      <x:c r="J14" s="37" t="str">
        <x:v>decoded</x:v>
      </x:c>
      <x:c r="K14" s="37" t="str">
        <x:v>high</x:v>
      </x:c>
      <x:c r="L14" s="37" t="str">
        <x:v>evidence_only_not_rule</x:v>
      </x:c>
    </x:row>
    <x:row r="15">
      <x:c r="A15" s="37" t="str">
        <x:v>FOMOD-014</x:v>
      </x:c>
      <x:c r="B15" s="37" t="str">
        <x:v>Adamant</x:v>
      </x:c>
      <x:c r="C15" s="37" t="str">
        <x:v>6.0.4</x:v>
      </x:c>
      <x:c r="D15" s="37" t="str">
        <x:v>Main File</x:v>
      </x:c>
      <x:c r="E15" s="37" t="str">
        <x:v>fomod_option_description</x:v>
      </x:c>
      <x:c r="F15" s="37" t="str">
        <x:v>main</x:v>
      </x:c>
      <x:c r="G15" s="37" t="str">
        <x:v>Adamant - A Perk Overhaul</x:v>
      </x:c>
      <x:c r="H15" s="38" t="str">
        <x:v>This is the main file for Adamant - A Perk Overhaul.</x:v>
      </x:c>
      <x:c r="I15" s="37" t="str">
        <x:v>main</x:v>
      </x:c>
      <x:c r="J15" s="37" t="str">
        <x:v>decoded</x:v>
      </x:c>
      <x:c r="K15" s="37" t="str">
        <x:v>high</x:v>
      </x:c>
      <x:c r="L15" s="37" t="str">
        <x:v>evidence_only_not_rule</x:v>
      </x:c>
    </x:row>
    <x:row r="16">
      <x:c r="A16" s="37" t="str">
        <x:v>FOMOD-015</x:v>
      </x:c>
      <x:c r="B16" s="37" t="str">
        <x:v>Adamant</x:v>
      </x:c>
      <x:c r="C16" s="37" t="str">
        <x:v>6.0.4</x:v>
      </x:c>
      <x:c r="D16" s="37" t="str">
        <x:v>Module Files</x:v>
      </x:c>
      <x:c r="E16" s="37" t="str">
        <x:v>fomod_option_description</x:v>
      </x:c>
      <x:c r="F16" s="37" t="str">
        <x:v>integration_addon</x:v>
      </x:c>
      <x:c r="G16" s="37" t="str">
        <x:v>Blade and Blunt Integration Addon</x:v>
      </x:c>
      <x:c r="H16" s="38" t="str">
        <x:v>This patch integrates several Blade &amp; Blunt features into Adamant perks. Highly recommended.</x:v>
      </x:c>
      <x:c r="I16" s="37" t="str">
        <x:v>main blade</x:v>
      </x:c>
      <x:c r="J16" s="37" t="str">
        <x:v>decoded</x:v>
      </x:c>
      <x:c r="K16" s="37" t="str">
        <x:v>high</x:v>
      </x:c>
      <x:c r="L16" s="37" t="str">
        <x:v>evidence_only_not_rule</x:v>
      </x:c>
    </x:row>
    <x:row r="17">
      <x:c r="A17" s="37" t="str">
        <x:v>FOMOD-016</x:v>
      </x:c>
      <x:c r="B17" s="37" t="str">
        <x:v>Adamant</x:v>
      </x:c>
      <x:c r="C17" s="37" t="str">
        <x:v>6.0.4</x:v>
      </x:c>
      <x:c r="D17" s="37" t="str">
        <x:v>Module Files</x:v>
      </x:c>
      <x:c r="E17" s="37" t="str">
        <x:v>fomod_option_description</x:v>
      </x:c>
      <x:c r="F17" s="37" t="str">
        <x:v>runtime_settings</x:v>
      </x:c>
      <x:c r="G17" s="37" t="str">
        <x:v>Scrambled Bugs Settings</x:v>
      </x:c>
      <x:c r="H17" s="38" t="str">
        <x:v>Scrambled Bugs settings for Adamant and Blade &amp; Blunt. Without these settings, several Adamant perks will not function. This file can be used with or without Blade &amp; Blunt.</x:v>
      </x:c>
      <x:c r="I17" s="37" t="str">
        <x:v>module scrambled</x:v>
      </x:c>
      <x:c r="J17" s="37" t="str">
        <x:v>decoded</x:v>
      </x:c>
      <x:c r="K17" s="37" t="str">
        <x:v>high</x:v>
      </x:c>
      <x:c r="L17" s="37" t="str">
        <x:v>evidence_only_not_rule</x:v>
      </x:c>
    </x:row>
    <x:row r="18">
      <x:c r="A18" s="37" t="str">
        <x:v>FOMOD-017</x:v>
      </x:c>
      <x:c r="B18" s="37" t="str">
        <x:v>Adamant</x:v>
      </x:c>
      <x:c r="C18" s="37" t="str">
        <x:v>6.0.4</x:v>
      </x:c>
      <x:c r="D18" s="37" t="str">
        <x:v>Optional Files</x:v>
      </x:c>
      <x:c r="E18" s="37" t="str">
        <x:v>fomod_option_description</x:v>
      </x:c>
      <x:c r="F18" s="37" t="str">
        <x:v>integration_addon</x:v>
      </x:c>
      <x:c r="G18" s="37" t="str">
        <x:v>Adamant - Crossbow Addon</x:v>
      </x:c>
      <x:c r="H18" s="38" t="str">
        <x:v>This addon integrates crossbow perks into the Adamant archery tree.</x:v>
      </x:c>
      <x:c r="I18" s="37" t="str">
        <x:v>module crossbows</x:v>
      </x:c>
      <x:c r="J18" s="37" t="str">
        <x:v>decoded</x:v>
      </x:c>
      <x:c r="K18" s="37" t="str">
        <x:v>high</x:v>
      </x:c>
      <x:c r="L18" s="37" t="str">
        <x:v>evidence_only_not_rule</x:v>
      </x:c>
    </x:row>
    <x:row r="19">
      <x:c r="A19" s="37" t="str">
        <x:v>FOMOD-018</x:v>
      </x:c>
      <x:c r="B19" s="37" t="str">
        <x:v>Adamant</x:v>
      </x:c>
      <x:c r="C19" s="37" t="str">
        <x:v>6.0.4</x:v>
      </x:c>
      <x:c r="D19" s="37" t="str">
        <x:v>Optional Files</x:v>
      </x:c>
      <x:c r="E19" s="37" t="str">
        <x:v>fomod_option_description</x:v>
      </x:c>
      <x:c r="F19" s="37" t="str">
        <x:v>feature_addon</x:v>
      </x:c>
      <x:c r="G19" s="37" t="str">
        <x:v>Adamant - Smithing Addon</x:v>
      </x:c>
      <x:c r="H19" s="38" t="str">
        <x:v>This addon replaces the Vanilla tempering progression with a new sysem that scales from +1 to +10. Requires Improvement Names Customized.</x:v>
      </x:c>
      <x:c r="I19" s="37" t="str">
        <x:v>module smithing</x:v>
      </x:c>
      <x:c r="J19" s="37" t="str">
        <x:v>decoded</x:v>
      </x:c>
      <x:c r="K19" s="37" t="str">
        <x:v>high</x:v>
      </x:c>
      <x:c r="L19" s="37" t="str">
        <x:v>evidence_only_not_rule</x:v>
      </x:c>
    </x:row>
    <x:row r="20">
      <x:c r="A20" s="37" t="str">
        <x:v>FOMOD-019</x:v>
      </x:c>
      <x:c r="B20" s="37" t="str">
        <x:v>Adamant</x:v>
      </x:c>
      <x:c r="C20" s="37" t="str">
        <x:v>6.0.4</x:v>
      </x:c>
      <x:c r="D20" s="37" t="str">
        <x:v>Patches</x:v>
      </x:c>
      <x:c r="E20" s="37" t="str">
        <x:v>fomod_option_description</x:v>
      </x:c>
      <x:c r="F20" s="37" t="str">
        <x:v>compatibility_patch</x:v>
      </x:c>
      <x:c r="G20" s="37" t="str">
        <x:v>Simonrim Attack Speed Fix</x:v>
      </x:c>
      <x:c r="H20" s="38" t="str">
        <x:v>This plugin patches all sources of Attack Speed in Simonrim. Comprehensive Attack Rate Patch is recommended to patch for sources of Attack Speed outside of Simonrim.</x:v>
      </x:c>
      <x:c r="I20" s="37" t="str">
        <x:v>patch attack speed</x:v>
      </x:c>
      <x:c r="J20" s="37" t="str">
        <x:v>decoded</x:v>
      </x:c>
      <x:c r="K20" s="37" t="str">
        <x:v>high</x:v>
      </x:c>
      <x:c r="L20" s="37" t="str">
        <x:v>evidence_only_not_rule</x:v>
      </x:c>
    </x:row>
    <x:row r="21">
      <x:c r="A21" s="37" t="str">
        <x:v>FOMOD-020</x:v>
      </x:c>
      <x:c r="B21" s="37" t="str">
        <x:v>Adamant</x:v>
      </x:c>
      <x:c r="C21" s="37" t="str">
        <x:v>6.0.4</x:v>
      </x:c>
      <x:c r="D21" s="37" t="str">
        <x:v>Patches</x:v>
      </x:c>
      <x:c r="E21" s="37" t="str">
        <x:v>fomod_option_description</x:v>
      </x:c>
      <x:c r="F21" s="37" t="str">
        <x:v>compatibility_patch</x:v>
      </x:c>
      <x:c r="G21" s="37" t="str">
        <x:v>Saints and Seducers Smithing Fix</x:v>
      </x:c>
      <x:c r="H21" s="38" t="str">
        <x:v>This plugin patches the Saints and Seducers creation for Adamant's smithing perks.</x:v>
      </x:c>
      <x:c r="I21" s="37" t="str">
        <x:v>patch seducers</x:v>
      </x:c>
      <x:c r="J21" s="37" t="str">
        <x:v>decoded</x:v>
      </x:c>
      <x:c r="K21" s="37" t="str">
        <x:v>high</x:v>
      </x:c>
      <x:c r="L21" s="37" t="str">
        <x:v>evidence_only_not_rule</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24" hidden="0" customWidth="1"/>
    <x:col min="2" max="2" width="14" hidden="0" customWidth="1"/>
    <x:col min="3" max="3" width="24" hidden="0" customWidth="1"/>
    <x:col min="4" max="4" width="14" hidden="0" customWidth="1"/>
    <x:col min="5" max="5" width="14" hidden="0" customWidth="1"/>
    <x:col min="6" max="6" width="14" hidden="0" customWidth="1"/>
    <x:col min="7" max="7" width="14" hidden="0" customWidth="1"/>
    <x:col min="8" max="8" width="14" hidden="0" customWidth="1"/>
    <x:col min="9" max="9" width="20" hidden="0" customWidth="1"/>
    <x:col min="10" max="10" width="14" hidden="0" customWidth="1"/>
    <x:col min="11" max="11" width="38" hidden="0" customWidth="1"/>
  </x:cols>
  <x:sheetData>
    <x:row r="1">
      <x:c r="A1" s="36" t="str">
        <x:v>mod</x:v>
      </x:c>
      <x:c r="B1" s="36" t="str">
        <x:v>version</x:v>
      </x:c>
      <x:c r="C1" s="36" t="str">
        <x:v>plugin</x:v>
      </x:c>
      <x:c r="D1" s="36" t="str">
        <x:v>relative_path</x:v>
      </x:c>
      <x:c r="E1" s="36" t="str">
        <x:v>fomod_source_folder</x:v>
      </x:c>
      <x:c r="F1" s="36" t="str">
        <x:v>fomod_step</x:v>
      </x:c>
      <x:c r="G1" s="36" t="str">
        <x:v>fomod_group</x:v>
      </x:c>
      <x:c r="H1" s="36" t="str">
        <x:v>fomod_option</x:v>
      </x:c>
      <x:c r="I1" s="36" t="str">
        <x:v>module_role</x:v>
      </x:c>
      <x:c r="J1" s="36" t="str">
        <x:v>role_source</x:v>
      </x:c>
      <x:c r="K1" s="36" t="str">
        <x:v>author_description</x:v>
      </x:c>
    </x:row>
    <x:row r="2">
      <x:c r="A2" s="37" t="str">
        <x:v>Adamant</x:v>
      </x:c>
      <x:c r="B2" s="37" t="str">
        <x:v>6.0.4</x:v>
      </x:c>
      <x:c r="C2" s="37" t="str">
        <x:v>Adamant.esp</x:v>
      </x:c>
      <x:c r="D2" s="37" t="str">
        <x:v>main/Adamant.esp</x:v>
      </x:c>
      <x:c r="E2" s="37" t="str">
        <x:v>main</x:v>
      </x:c>
      <x:c r="F2" s="37" t="str">
        <x:v>Main Step</x:v>
      </x:c>
      <x:c r="G2" s="37" t="str">
        <x:v>Main File</x:v>
      </x:c>
      <x:c r="H2" s="37" t="str">
        <x:v>Adamant - A Perk Overhaul</x:v>
      </x:c>
      <x:c r="I2" s="37" t="str">
        <x:v>main</x:v>
      </x:c>
      <x:c r="J2" s="37" t="str">
        <x:v>author_fomod</x:v>
      </x:c>
      <x:c r="K2" s="38" t="str">
        <x:v>This is the main file for Adamant - A Perk Overhaul.</x:v>
      </x:c>
    </x:row>
    <x:row r="3">
      <x:c r="A3" s="37" t="str">
        <x:v>Adamant</x:v>
      </x:c>
      <x:c r="B3" s="37" t="str">
        <x:v>6.0.4</x:v>
      </x:c>
      <x:c r="C3" s="37" t="str">
        <x:v>AdamantBlade.esp</x:v>
      </x:c>
      <x:c r="D3" s="37" t="str">
        <x:v>main blade/AdamantBlade.esp</x:v>
      </x:c>
      <x:c r="E3" s="37" t="str">
        <x:v>main blade</x:v>
      </x:c>
      <x:c r="F3" s="37" t="str">
        <x:v>Main Step</x:v>
      </x:c>
      <x:c r="G3" s="37" t="str">
        <x:v>Module Files</x:v>
      </x:c>
      <x:c r="H3" s="37" t="str">
        <x:v>Blade and Blunt Integration Addon</x:v>
      </x:c>
      <x:c r="I3" s="37" t="str">
        <x:v>integration_addon</x:v>
      </x:c>
      <x:c r="J3" s="37" t="str">
        <x:v>author_fomod</x:v>
      </x:c>
      <x:c r="K3" s="38" t="str">
        <x:v>This patch integrates several Blade &amp; Blunt features into Adamant perks. Highly recommended.</x:v>
      </x:c>
    </x:row>
    <x:row r="4">
      <x:c r="A4" s="37" t="str">
        <x:v>Adamant</x:v>
      </x:c>
      <x:c r="B4" s="37" t="str">
        <x:v>6.0.4</x:v>
      </x:c>
      <x:c r="C4" s="37" t="str">
        <x:v>AdamantCrossbows.esp</x:v>
      </x:c>
      <x:c r="D4" s="37" t="str">
        <x:v>module crossbows/AdamantCrossbows.esp</x:v>
      </x:c>
      <x:c r="E4" s="37" t="str">
        <x:v>module crossbows</x:v>
      </x:c>
      <x:c r="F4" s="37" t="str">
        <x:v>Optional Files</x:v>
      </x:c>
      <x:c r="G4" s="37" t="str">
        <x:v>Optional Files</x:v>
      </x:c>
      <x:c r="H4" s="37" t="str">
        <x:v>Adamant - Crossbow Addon</x:v>
      </x:c>
      <x:c r="I4" s="37" t="str">
        <x:v>integration_addon</x:v>
      </x:c>
      <x:c r="J4" s="37" t="str">
        <x:v>author_fomod</x:v>
      </x:c>
      <x:c r="K4" s="38" t="str">
        <x:v>This addon integrates crossbow perks into the Adamant archery tree.</x:v>
      </x:c>
    </x:row>
    <x:row r="5">
      <x:c r="A5" s="37" t="str">
        <x:v>Adamant</x:v>
      </x:c>
      <x:c r="B5" s="37" t="str">
        <x:v>6.0.4</x:v>
      </x:c>
      <x:c r="C5" s="37" t="str">
        <x:v>AdamantSmithing.esp</x:v>
      </x:c>
      <x:c r="D5" s="37" t="str">
        <x:v>module smithing/AdamantSmithing.esp</x:v>
      </x:c>
      <x:c r="E5" s="37" t="str">
        <x:v>module smithing</x:v>
      </x:c>
      <x:c r="F5" s="37" t="str">
        <x:v>Optional Files</x:v>
      </x:c>
      <x:c r="G5" s="37" t="str">
        <x:v>Optional Files</x:v>
      </x:c>
      <x:c r="H5" s="37" t="str">
        <x:v>Adamant - Smithing Addon</x:v>
      </x:c>
      <x:c r="I5" s="37" t="str">
        <x:v>feature_addon</x:v>
      </x:c>
      <x:c r="J5" s="37" t="str">
        <x:v>author_fomod</x:v>
      </x:c>
      <x:c r="K5" s="38" t="str">
        <x:v>This addon replaces the Vanilla tempering progression with a new sysem that scales from +1 to +10. Requires Improvement Names Customized.</x:v>
      </x:c>
    </x:row>
    <x:row r="6">
      <x:c r="A6" s="37" t="str">
        <x:v>Adamant</x:v>
      </x:c>
      <x:c r="B6" s="37" t="str">
        <x:v>6.0.4</x:v>
      </x:c>
      <x:c r="C6" s="37" t="str">
        <x:v>SimonrimAttackSpeedFix.esp</x:v>
      </x:c>
      <x:c r="D6" s="37" t="str">
        <x:v>patch attack speed/SimonrimAttackSpeedFix.esp</x:v>
      </x:c>
      <x:c r="E6" s="37" t="str">
        <x:v>patch attack speed</x:v>
      </x:c>
      <x:c r="F6" s="37" t="str">
        <x:v>Optional Files</x:v>
      </x:c>
      <x:c r="G6" s="37" t="str">
        <x:v>Patches</x:v>
      </x:c>
      <x:c r="H6" s="37" t="str">
        <x:v>Simonrim Attack Speed Fix</x:v>
      </x:c>
      <x:c r="I6" s="37" t="str">
        <x:v>compatibility_patch</x:v>
      </x:c>
      <x:c r="J6" s="37" t="str">
        <x:v>author_fomod</x:v>
      </x:c>
      <x:c r="K6" s="38" t="str">
        <x:v>This plugin patches all sources of Attack Speed in Simonrim. Comprehensive Attack Rate Patch is recommended to patch for sources of Attack Speed outside of Simonrim.</x:v>
      </x:c>
    </x:row>
    <x:row r="7">
      <x:c r="A7" s="37" t="str">
        <x:v>Adamant</x:v>
      </x:c>
      <x:c r="B7" s="37" t="str">
        <x:v>6.0.4</x:v>
      </x:c>
      <x:c r="C7" s="37" t="str">
        <x:v>SimonrmSaintsSeducersSmithing.esp</x:v>
      </x:c>
      <x:c r="D7" s="37" t="str">
        <x:v>patch seducers/SimonrmSaintsSeducersSmithing.esp</x:v>
      </x:c>
      <x:c r="E7" s="37" t="str">
        <x:v>patch seducers</x:v>
      </x:c>
      <x:c r="F7" s="37" t="str">
        <x:v>Optional Files</x:v>
      </x:c>
      <x:c r="G7" s="37" t="str">
        <x:v>Patches</x:v>
      </x:c>
      <x:c r="H7" s="37" t="str">
        <x:v>Saints and Seducers Smithing Fix</x:v>
      </x:c>
      <x:c r="I7" s="37" t="str">
        <x:v>compatibility_patch</x:v>
      </x:c>
      <x:c r="J7" s="37" t="str">
        <x:v>author_fomod</x:v>
      </x:c>
      <x:c r="K7" s="38" t="str">
        <x:v>This plugin patches the Saints and Seducers creation for Adamant's smithing perks.</x:v>
      </x:c>
    </x:row>
    <x:row r="8">
      <x:c r="A8" s="37" t="str">
        <x:v>Blade and Blunt</x:v>
      </x:c>
      <x:c r="B8" s="37" t="str">
        <x:v>4.0.3</x:v>
      </x:c>
      <x:c r="C8" s="37" t="str">
        <x:v>BladeAndBlunt.esp</x:v>
      </x:c>
      <x:c r="D8" s="37" t="str">
        <x:v>main/BladeAndBlunt.esp</x:v>
      </x:c>
      <x:c r="E8" s="37" t="str">
        <x:v>main</x:v>
      </x:c>
      <x:c r="F8" s="37" t="str">
        <x:v>Main Step</x:v>
      </x:c>
      <x:c r="G8" s="37" t="str">
        <x:v>Main File</x:v>
      </x:c>
      <x:c r="H8" s="37" t="str">
        <x:v>Blade and Blunt - A Combat Overhaul</x:v>
      </x:c>
      <x:c r="I8" s="37" t="str">
        <x:v>main</x:v>
      </x:c>
      <x:c r="J8" s="37" t="str">
        <x:v>author_fomod</x:v>
      </x:c>
      <x:c r="K8" s="38" t="str">
        <x:v>This is the main file for Blade and Blunt - A Combat Overhaul.</x:v>
      </x:c>
    </x:row>
    <x:row r="9">
      <x:c r="A9" s="37" t="str">
        <x:v>Blade and Blunt</x:v>
      </x:c>
      <x:c r="B9" s="37" t="str">
        <x:v>4.0.3</x:v>
      </x:c>
      <x:c r="C9" s="37" t="str">
        <x:v>BBNoCastingChanges.esp</x:v>
      </x:c>
      <x:c r="D9" s="37" t="str">
        <x:v>module no casting changes/BBNoCastingChanges.esp</x:v>
      </x:c>
      <x:c r="E9" s="37" t="str">
        <x:v>module no casting changes</x:v>
      </x:c>
      <x:c r="F9" s="37" t="str">
        <x:v>Disable Optional Features</x:v>
      </x:c>
      <x:c r="G9" s="37" t="str">
        <x:v>Stamina Changes</x:v>
      </x:c>
      <x:c r="H9" s="37" t="str">
        <x:v>No Casting Changes</x:v>
      </x:c>
      <x:c r="I9" s="37" t="str">
        <x:v>reversion</x:v>
      </x:c>
      <x:c r="J9" s="37" t="str">
        <x:v>author_fomod</x:v>
      </x:c>
      <x:c r="K9" s="38" t="str">
        <x:v>Blade and Blunt disables Stamina regeneration while casting. This addon reverts that change.</x:v>
      </x:c>
    </x:row>
    <x:row r="10">
      <x:c r="A10" s="37" t="str">
        <x:v>Blade and Blunt</x:v>
      </x:c>
      <x:c r="B10" s="37" t="str">
        <x:v>4.0.3</x:v>
      </x:c>
      <x:c r="C10" s="37" t="str">
        <x:v>BBNoJumpCost.esp</x:v>
      </x:c>
      <x:c r="D10" s="37" t="str">
        <x:v>module no jump stamina/BBNoJumpCost.esp</x:v>
      </x:c>
      <x:c r="E10" s="37" t="str">
        <x:v>module no jump stamina</x:v>
      </x:c>
      <x:c r="F10" s="37" t="str">
        <x:v>Disable Optional Features</x:v>
      </x:c>
      <x:c r="G10" s="37" t="str">
        <x:v>Stamina Changes</x:v>
      </x:c>
      <x:c r="H10" s="37" t="str">
        <x:v>No Stamina Cost for Jumping</x:v>
      </x:c>
      <x:c r="I10" s="37" t="str">
        <x:v>reversion</x:v>
      </x:c>
      <x:c r="J10" s="37" t="str">
        <x:v>author_fomod</x:v>
      </x:c>
      <x:c r="K10" s="38" t="str">
        <x:v>Blade and Blunt adds a Stamina cost to jumping. This addon reverts that change.</x:v>
      </x:c>
    </x:row>
    <x:row r="11">
      <x:c r="A11" s="37" t="str">
        <x:v>Blade and Blunt</x:v>
      </x:c>
      <x:c r="B11" s="37" t="str">
        <x:v>4.0.3</x:v>
      </x:c>
      <x:c r="C11" s="37" t="str">
        <x:v>BBNoKillmoves.esp</x:v>
      </x:c>
      <x:c r="D11" s="37" t="str">
        <x:v>module no kill moves/BBNoKillmoves.esp</x:v>
      </x:c>
      <x:c r="E11" s="37" t="str">
        <x:v>module no kill moves</x:v>
      </x:c>
      <x:c r="F11" s="37" t="str">
        <x:v>Main Step</x:v>
      </x:c>
      <x:c r="G11" s="37" t="str">
        <x:v>Module Files</x:v>
      </x:c>
      <x:c r="H11" s="37" t="str">
        <x:v>No Kill Moves</x:v>
      </x:c>
      <x:c r="I11" s="37" t="str">
        <x:v>reversion</x:v>
      </x:c>
      <x:c r="J11" s="37" t="str">
        <x:v>author_fomod</x:v>
      </x:c>
      <x:c r="K11" s="38" t="str">
        <x:v>This optional file disables all kill moves, including ranged kill moves, without breaking the main quest.</x:v>
      </x:c>
    </x:row>
    <x:row r="12">
      <x:c r="A12" s="37" t="str">
        <x:v>Blade and Blunt</x:v>
      </x:c>
      <x:c r="B12" s="37" t="str">
        <x:v>4.0.3</x:v>
      </x:c>
      <x:c r="C12" s="37" t="str">
        <x:v>BBNoPowerAttackChanges.esp</x:v>
      </x:c>
      <x:c r="D12" s="37" t="str">
        <x:v>module no power attack changes/BBNoPowerAttackChanges.esp</x:v>
      </x:c>
      <x:c r="E12" s="37" t="str">
        <x:v>module no power attack changes</x:v>
      </x:c>
      <x:c r="F12" s="37" t="str">
        <x:v>Disable Optional Features</x:v>
      </x:c>
      <x:c r="G12" s="37" t="str">
        <x:v>Stamina Changes</x:v>
      </x:c>
      <x:c r="H12" s="37" t="str">
        <x:v>No Power Attack Changes</x:v>
      </x:c>
      <x:c r="I12" s="37" t="str">
        <x:v>reversion</x:v>
      </x:c>
      <x:c r="J12" s="37" t="str">
        <x:v>author_fomod</x:v>
      </x:c>
      <x:c r="K12" s="38" t="str">
        <x:v>Blade and Blunt changes the cost of power attacks. However, this change is not compatible with Ordinator's perks that reduce the cost of power attacking by a flat value. This addon reverts Blade and Blunt's changes to power attack cost back to Vanilla. Not recommended unless you are using Ordinator.</x:v>
      </x:c>
    </x:row>
    <x:row r="13">
      <x:c r="A13" s="37" t="str">
        <x:v>Blade and Blunt</x:v>
      </x:c>
      <x:c r="B13" s="37" t="str">
        <x:v>4.0.3</x:v>
      </x:c>
      <x:c r="C13" s="37" t="str">
        <x:v>BBNoSneakCost.esp</x:v>
      </x:c>
      <x:c r="D13" s="37" t="str">
        <x:v>module no sneak stamina/BBNoSneakCost.esp</x:v>
      </x:c>
      <x:c r="E13" s="37" t="str">
        <x:v>module no sneak stamina</x:v>
      </x:c>
      <x:c r="F13" s="37" t="str">
        <x:v>Disable Optional Features</x:v>
      </x:c>
      <x:c r="G13" s="37" t="str">
        <x:v>Stamina Changes</x:v>
      </x:c>
      <x:c r="H13" s="37" t="str">
        <x:v>No Stamina Cost for Sneaking</x:v>
      </x:c>
      <x:c r="I13" s="37" t="str">
        <x:v>reversion</x:v>
      </x:c>
      <x:c r="J13" s="37" t="str">
        <x:v>author_fomod</x:v>
      </x:c>
      <x:c r="K13" s="38" t="str">
        <x:v>Blade and Blunt adds a Stamina cost to sneaking. This addon reverts that change.</x:v>
      </x:c>
    </x:row>
    <x:row r="14">
      <x:c r="A14" s="37" t="str">
        <x:v>Blade and Blunt</x:v>
      </x:c>
      <x:c r="B14" s="37" t="str">
        <x:v>4.0.3</x:v>
      </x:c>
      <x:c r="C14" s="37" t="str">
        <x:v>BBNoSprintChanges.esp</x:v>
      </x:c>
      <x:c r="D14" s="37" t="str">
        <x:v>module no sprint changes/BBNoSprintChanges.esp</x:v>
      </x:c>
      <x:c r="E14" s="37" t="str">
        <x:v>module no sprint changes</x:v>
      </x:c>
      <x:c r="F14" s="37" t="str">
        <x:v>Disable Optional Features</x:v>
      </x:c>
      <x:c r="G14" s="37" t="str">
        <x:v>Stamina Changes</x:v>
      </x:c>
      <x:c r="H14" s="37" t="str">
        <x:v>No Sprinting Changes</x:v>
      </x:c>
      <x:c r="I14" s="37" t="str">
        <x:v>reversion</x:v>
      </x:c>
      <x:c r="J14" s="37" t="str">
        <x:v>author_fomod</x:v>
      </x:c>
      <x:c r="K14" s="38" t="str">
        <x:v>Blade and Blunt makes several changes to the Stamina cost of sprinting. This addon reverts those changes, for compatibility with mods such as Horseback or Unlimited sprinting.</x:v>
      </x:c>
    </x:row>
    <x:row r="15">
      <x:c r="A15" s="37" t="str">
        <x:v>Blade and Blunt</x:v>
      </x:c>
      <x:c r="B15" s="37" t="str">
        <x:v>4.0.3</x:v>
      </x:c>
      <x:c r="C15" s="37" t="str">
        <x:v>BBNoSwimCost.esp</x:v>
      </x:c>
      <x:c r="D15" s="37" t="str">
        <x:v>module no swim stamina/BBNoSwimCost.esp</x:v>
      </x:c>
      <x:c r="E15" s="37" t="str">
        <x:v>module no swim stamina</x:v>
      </x:c>
      <x:c r="F15" s="37" t="str">
        <x:v>Disable Optional Features</x:v>
      </x:c>
      <x:c r="G15" s="37" t="str">
        <x:v>Stamina Changes</x:v>
      </x:c>
      <x:c r="H15" s="37" t="str">
        <x:v>No Stamina Cost for Swimming</x:v>
      </x:c>
      <x:c r="I15" s="37" t="str">
        <x:v>reversion</x:v>
      </x:c>
      <x:c r="J15" s="37" t="str">
        <x:v>author_fomod</x:v>
      </x:c>
      <x:c r="K15" s="38" t="str">
        <x:v>Blade and Blunt adds a Stamina cost to swimming. This addon reverts that change.</x:v>
      </x:c>
    </x:row>
    <x:row r="16">
      <x:c r="A16" s="37" t="str">
        <x:v>Blade and Blunt</x:v>
      </x:c>
      <x:c r="B16" s="37" t="str">
        <x:v>4.0.3</x:v>
      </x:c>
      <x:c r="C16" s="37" t="str">
        <x:v>BBVanillaSliders.esp</x:v>
      </x:c>
      <x:c r="D16" s="37" t="str">
        <x:v>module vanilla difficulty modifiers/BBVanillaSliders.esp</x:v>
      </x:c>
      <x:c r="E16" s="37" t="str">
        <x:v>module vanilla difficulty modifiers</x:v>
      </x:c>
      <x:c r="F16" s="37" t="str"/>
      <x:c r="G16" s="37" t="str"/>
      <x:c r="H16" s="37" t="str"/>
      <x:c r="I16" s="37" t="str">
        <x:v>unmapped</x:v>
      </x:c>
      <x:c r="J16" s="37" t="str">
        <x:v>none</x:v>
      </x:c>
      <x:c r="K16" s="38" t="str"/>
    </x:row>
    <x:row r="17">
      <x:c r="A17" s="37" t="str">
        <x:v>Hand to Hand</x:v>
      </x:c>
      <x:c r="B17" s="37" t="str">
        <x:v>2.0.2</x:v>
      </x:c>
      <x:c r="C17" s="37" t="str">
        <x:v>HandtoHand.esp</x:v>
      </x:c>
      <x:c r="D17" s="37" t="str">
        <x:v>HandtoHand.esp</x:v>
      </x:c>
      <x:c r="E17" s="37" t="str"/>
      <x:c r="F17" s="37" t="str"/>
      <x:c r="G17" s="37" t="str"/>
      <x:c r="H17" s="37" t="str"/>
      <x:c r="I17" s="37" t="str">
        <x:v>standalone_main</x:v>
      </x:c>
      <x:c r="J17" s="37" t="str">
        <x:v>package_structure</x:v>
      </x:c>
      <x:c r="K17" s="38" t="str"/>
    </x:row>
    <x:row r="18">
      <x:c r="A18" s="37" t="str">
        <x:v>Mysticism</x:v>
      </x:c>
      <x:c r="B18" s="37" t="str">
        <x:v>2.5.0</x:v>
      </x:c>
      <x:c r="C18" s="37" t="str">
        <x:v>MysticismMagic.esp</x:v>
      </x:c>
      <x:c r="D18" s="37" t="str">
        <x:v>main/MysticismMagic.esp</x:v>
      </x:c>
      <x:c r="E18" s="37" t="str">
        <x:v>main</x:v>
      </x:c>
      <x:c r="F18" s="37" t="str">
        <x:v>Main Step</x:v>
      </x:c>
      <x:c r="G18" s="37" t="str">
        <x:v>Main File</x:v>
      </x:c>
      <x:c r="H18" s="37" t="str">
        <x:v>Mysticism - A Magic Overhaul</x:v>
      </x:c>
      <x:c r="I18" s="37" t="str">
        <x:v>main</x:v>
      </x:c>
      <x:c r="J18" s="37" t="str">
        <x:v>author_fomod</x:v>
      </x:c>
      <x:c r="K18" s="38" t="str">
        <x:v>This is the main file for Mysticism - A Magic Overhaul.</x:v>
      </x:c>
    </x:row>
    <x:row r="19">
      <x:c r="A19" s="37" t="str">
        <x:v>Mysticism</x:v>
      </x:c>
      <x:c r="B19" s="37" t="str">
        <x:v>2.5.0</x:v>
      </x:c>
      <x:c r="C19" s="37" t="str">
        <x:v>MysticismJumpSpells.esp</x:v>
      </x:c>
      <x:c r="D19" s="37" t="str">
        <x:v>module jump/MysticismJumpSpells.esp</x:v>
      </x:c>
      <x:c r="E19" s="37" t="str">
        <x:v>module jump</x:v>
      </x:c>
      <x:c r="F19" s="37" t="str">
        <x:v>Main Step</x:v>
      </x:c>
      <x:c r="G19" s="37" t="str">
        <x:v>Module Files</x:v>
      </x:c>
      <x:c r="H19" s="37" t="str">
        <x:v>Jump Spells Addon</x:v>
      </x:c>
      <x:c r="I19" s="37" t="str">
        <x:v>feature_addon</x:v>
      </x:c>
      <x:c r="J19" s="37" t="str">
        <x:v>author_fomod</x:v>
      </x:c>
      <x:c r="K19" s="38" t="str">
        <x:v>Adds a few spells which allows the player to fortify their Jump Height. Requires Po3Tweaks.</x:v>
      </x:c>
    </x:row>
    <x:row r="20">
      <x:c r="A20" s="37" t="str">
        <x:v>Mysticism</x:v>
      </x:c>
      <x:c r="B20" s="37" t="str">
        <x:v>2.5.0</x:v>
      </x:c>
      <x:c r="C20" s="37" t="str">
        <x:v>MysticOrdinator.esp</x:v>
      </x:c>
      <x:c r="D20" s="37" t="str">
        <x:v>module ordinator/MysticOrdinator.esp</x:v>
      </x:c>
      <x:c r="E20" s="37" t="str">
        <x:v>module ordinator</x:v>
      </x:c>
      <x:c r="F20" s="37" t="str">
        <x:v>Main Step</x:v>
      </x:c>
      <x:c r="G20" s="37" t="str">
        <x:v>Patches</x:v>
      </x:c>
      <x:c r="H20" s="37" t="str">
        <x:v>Ordinator Patch</x:v>
      </x:c>
      <x:c r="I20" s="37" t="str">
        <x:v>compatibility_patch</x:v>
      </x:c>
      <x:c r="J20" s="37" t="str">
        <x:v>author_fomod</x:v>
      </x:c>
      <x:c r="K20" s="38" t="str">
        <x:v>A patch for Mysticism and Ordinator. The Vokrii patches are handled by the author on the Vokrii page.</x:v>
      </x:c>
    </x:row>
    <x:row r="21">
      <x:c r="A21" s="37" t="str">
        <x:v>Mysticism</x:v>
      </x:c>
      <x:c r="B21" s="37" t="str">
        <x:v>2.5.0</x:v>
      </x:c>
      <x:c r="C21" s="37" t="str">
        <x:v>MysticismSlowerUnlocks.esp</x:v>
      </x:c>
      <x:c r="D21" s="37" t="str">
        <x:v>module slow/MysticismSlowerUnlocks.esp</x:v>
      </x:c>
      <x:c r="E21" s="37" t="str">
        <x:v>module slow</x:v>
      </x:c>
      <x:c r="F21" s="37" t="str">
        <x:v>Main Step</x:v>
      </x:c>
      <x:c r="G21" s="37" t="str">
        <x:v>Module Files</x:v>
      </x:c>
      <x:c r="H21" s="37" t="str">
        <x:v>Slower Spell Unlocks</x:v>
      </x:c>
      <x:c r="I21" s="37" t="str">
        <x:v>optional_module</x:v>
      </x:c>
      <x:c r="J21" s="37" t="str">
        <x:v>author_fomod</x:v>
      </x:c>
      <x:c r="K21" s="38" t="str">
        <x:v>With this plugin installed, Apprentice spells will be available at 25 skill, Adept spells will be available at 50 skill, and Expert spells will be available at 75 skill. Master spells will continue to be available after completing the quest, which unlocks at 90 skill.</x:v>
      </x:c>
    </x:row>
    <x:row r="22">
      <x:c r="A22" s="37" t="str">
        <x:v>Mysticism</x:v>
      </x:c>
      <x:c r="B22" s="37" t="str">
        <x:v>2.5.0</x:v>
      </x:c>
      <x:c r="C22" s="37" t="str">
        <x:v>MysticismSurvivalSpells.esp</x:v>
      </x:c>
      <x:c r="D22" s="37" t="str">
        <x:v>module survival/MysticismSurvivalSpells.esp</x:v>
      </x:c>
      <x:c r="E22" s="37" t="str">
        <x:v>module survival</x:v>
      </x:c>
      <x:c r="F22" s="37" t="str">
        <x:v>Main Step</x:v>
      </x:c>
      <x:c r="G22" s="37" t="str">
        <x:v>Module Files</x:v>
      </x:c>
      <x:c r="H22" s="37" t="str">
        <x:v>Survival Spells Addon</x:v>
      </x:c>
      <x:c r="I22" s="37" t="str">
        <x:v>feature_addon</x:v>
      </x:c>
      <x:c r="J22" s="37" t="str">
        <x:v>author_fomod</x:v>
      </x:c>
      <x:c r="K22" s="38" t="str">
        <x:v>Adds a few spells that allow the player to increase their Warmth. Requires Survival Mode.</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24"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s>
  <x:sheetData>
    <x:row r="1">
      <x:c r="A1" s="36" t="str">
        <x:v>mod</x:v>
      </x:c>
      <x:c r="B1" s="36" t="str">
        <x:v>version</x:v>
      </x:c>
      <x:c r="C1" s="36" t="str">
        <x:v>relative_path</x:v>
      </x:c>
      <x:c r="D1" s="36" t="str">
        <x:v>extension</x:v>
      </x:c>
      <x:c r="E1" s="36" t="str">
        <x:v>size</x:v>
      </x:c>
      <x:c r="F1" s="36" t="str">
        <x:v>sha256</x:v>
      </x:c>
      <x:c r="G1" s="36" t="str">
        <x:v>category</x:v>
      </x:c>
      <x:c r="H1" s="36" t="str">
        <x:v>coverage_status</x:v>
      </x:c>
      <x:c r="I1" s="36" t="str">
        <x:v>coverage_scope</x:v>
      </x:c>
    </x:row>
    <x:row r="2">
      <x:c r="A2" s="37" t="str">
        <x:v>Adamant</x:v>
      </x:c>
      <x:c r="B2" s="37" t="str">
        <x:v>6.0.4</x:v>
      </x:c>
      <x:c r="C2" s="37" t="str">
        <x:v>fomod/ModuleConfig.xml</x:v>
      </x:c>
      <x:c r="D2" s="37" t="str">
        <x:v>.xml</x:v>
      </x:c>
      <x:c r="E2" s="37" t="str">
        <x:v>8444</x:v>
      </x:c>
      <x:c r="F2" s="37" t="str">
        <x:v>9dbe809f8c49adb766b52187fe978abc85cd0f40d02ad95fc0eea7f3e3e988d3</x:v>
      </x:c>
      <x:c r="G2" s="37" t="str">
        <x:v>config</x:v>
      </x:c>
      <x:c r="H2" s="37" t="str">
        <x:v>installer_parsed</x:v>
      </x:c>
      <x:c r="I2" s="37" t="str">
        <x:v>FOMOD option/installer metadata parsed</x:v>
      </x:c>
    </x:row>
    <x:row r="3">
      <x:c r="A3" s="37" t="str">
        <x:v>Adamant</x:v>
      </x:c>
      <x:c r="B3" s="37" t="str">
        <x:v>6.0.4</x:v>
      </x:c>
      <x:c r="C3" s="37" t="str">
        <x:v>fomod/info.xml</x:v>
      </x:c>
      <x:c r="D3" s="37" t="str">
        <x:v>.xml</x:v>
      </x:c>
      <x:c r="E3" s="37" t="str">
        <x:v>858</x:v>
      </x:c>
      <x:c r="F3" s="37" t="str">
        <x:v>ad1981d39f8138e252cee6190777b303b3e8619453664736009a34d6a1914558</x:v>
      </x:c>
      <x:c r="G3" s="37" t="str">
        <x:v>config</x:v>
      </x:c>
      <x:c r="H3" s="37" t="str">
        <x:v>installer_parsed</x:v>
      </x:c>
      <x:c r="I3" s="37" t="str">
        <x:v>FOMOD option/installer metadata parsed</x:v>
      </x:c>
    </x:row>
    <x:row r="4">
      <x:c r="A4" s="37" t="str">
        <x:v>Adamant</x:v>
      </x:c>
      <x:c r="B4" s="37" t="str">
        <x:v>6.0.4</x:v>
      </x:c>
      <x:c r="C4" s="37" t="str">
        <x:v>images/Adamant.png</x:v>
      </x:c>
      <x:c r="D4" s="37" t="str">
        <x:v>.png</x:v>
      </x:c>
      <x:c r="E4" s="37" t="str">
        <x:v>154293</x:v>
      </x:c>
      <x:c r="F4" s="37" t="str">
        <x:v>195b51c907d2395e30b2b6e630aaf0d72b11414f954e08c6cab1dd44bd0d90b6</x:v>
      </x:c>
      <x:c r="G4" s="37" t="str">
        <x:v>binary_asset</x:v>
      </x:c>
      <x:c r="H4" s="37" t="str">
        <x:v>presentation_binary_inventory</x:v>
      </x:c>
      <x:c r="I4" s="37" t="str">
        <x:v>image asset inventoried and hashed</x:v>
      </x:c>
    </x:row>
    <x:row r="5">
      <x:c r="A5" s="37" t="str">
        <x:v>Adamant</x:v>
      </x:c>
      <x:c r="B5" s="37" t="str">
        <x:v>6.0.4</x:v>
      </x:c>
      <x:c r="C5" s="37" t="str">
        <x:v>main/Adamant.bsa</x:v>
      </x:c>
      <x:c r="D5" s="37" t="str">
        <x:v>.bsa</x:v>
      </x:c>
      <x:c r="E5" s="37" t="str">
        <x:v>209209</x:v>
      </x:c>
      <x:c r="F5" s="37" t="str">
        <x:v>8c033a2bec531d6f1d2cc804aee39069bc053f3da1a883e5fb7369b699e7f9e1</x:v>
      </x:c>
      <x:c r="G5" s="37" t="str">
        <x:v>bsa</x:v>
      </x:c>
      <x:c r="H5" s="37" t="str">
        <x:v>member_inventory_and_text_extraction</x:v>
      </x:c>
      <x:c r="I5" s="37" t="str">
        <x:v>476 BSA members inventoried; author text/source extracted where text</x:v>
      </x:c>
    </x:row>
    <x:row r="6">
      <x:c r="A6" s="37" t="str">
        <x:v>Adamant</x:v>
      </x:c>
      <x:c r="B6" s="37" t="str">
        <x:v>6.0.4</x:v>
      </x:c>
      <x:c r="C6" s="37" t="str">
        <x:v>main/Adamant.esp</x:v>
      </x:c>
      <x:c r="D6" s="37" t="str">
        <x:v>.esp</x:v>
      </x:c>
      <x:c r="E6" s="37" t="str">
        <x:v>689718</x:v>
      </x:c>
      <x:c r="F6" s="37" t="str">
        <x:v>88903af1b94d089858abafbc13bd6172aa1c37e1303cc3fecc0b6fc988ac11a7</x:v>
      </x:c>
      <x:c r="G6" s="37" t="str">
        <x:v>plugin</x:v>
      </x:c>
      <x:c r="H6" s="37" t="str">
        <x:v>lossless_parsed</x:v>
      </x:c>
      <x:c r="I6" s="37" t="str">
        <x:v>plugin record/subrecord layer parsed and versioned</x:v>
      </x:c>
    </x:row>
    <x:row r="7">
      <x:c r="A7" s="37" t="str">
        <x:v>Adamant</x:v>
      </x:c>
      <x:c r="B7" s="37" t="str">
        <x:v>6.0.4</x:v>
      </x:c>
      <x:c r="C7" s="37" t="str">
        <x:v>main/Adamant_DISTR.ini</x:v>
      </x:c>
      <x:c r="D7" s="37" t="str">
        <x:v>.ini</x:v>
      </x:c>
      <x:c r="E7" s="37" t="str">
        <x:v>528</x:v>
      </x:c>
      <x:c r="F7" s="37" t="str">
        <x:v>03f2e3951ade9d25c11d0c65e456f7672a7159d608d6c7cab8d7c8dcd3d92074</x:v>
      </x:c>
      <x:c r="G7" s="37" t="str">
        <x:v>config</x:v>
      </x:c>
      <x:c r="H7" s="37" t="str">
        <x:v>decoded_config</x:v>
      </x:c>
      <x:c r="I7" s="37" t="str">
        <x:v>runtime/distribution configuration parsed</x:v>
      </x:c>
    </x:row>
    <x:row r="8">
      <x:c r="A8" s="37" t="str">
        <x:v>Adamant</x:v>
      </x:c>
      <x:c r="B8" s="37" t="str">
        <x:v>6.0.4</x:v>
      </x:c>
      <x:c r="C8" s="37" t="str">
        <x:v>main/Adamant_KID.ini</x:v>
      </x:c>
      <x:c r="D8" s="37" t="str">
        <x:v>.ini</x:v>
      </x:c>
      <x:c r="E8" s="37" t="str">
        <x:v>246</x:v>
      </x:c>
      <x:c r="F8" s="37" t="str">
        <x:v>1c01669202657863b934b53de422b2ea0aa79cf659542ce867cfd43233ced5cc</x:v>
      </x:c>
      <x:c r="G8" s="37" t="str">
        <x:v>config</x:v>
      </x:c>
      <x:c r="H8" s="37" t="str">
        <x:v>decoded_config</x:v>
      </x:c>
      <x:c r="I8" s="37" t="str">
        <x:v>runtime/distribution configuration parsed</x:v>
      </x:c>
    </x:row>
    <x:row r="9">
      <x:c r="A9" s="37" t="str">
        <x:v>Adamant</x:v>
      </x:c>
      <x:c r="B9" s="37" t="str">
        <x:v>6.0.4</x:v>
      </x:c>
      <x:c r="C9" s="37" t="str">
        <x:v>main blade/AdamantBlade.esp</x:v>
      </x:c>
      <x:c r="D9" s="37" t="str">
        <x:v>.esp</x:v>
      </x:c>
      <x:c r="E9" s="37" t="str">
        <x:v>15428</x:v>
      </x:c>
      <x:c r="F9" s="37" t="str">
        <x:v>dd56127015675cea3b46d08cede3769d16355bed9b958d511fbe52d4a5119326</x:v>
      </x:c>
      <x:c r="G9" s="37" t="str">
        <x:v>plugin</x:v>
      </x:c>
      <x:c r="H9" s="37" t="str">
        <x:v>lossless_parsed</x:v>
      </x:c>
      <x:c r="I9" s="37" t="str">
        <x:v>plugin record/subrecord layer parsed and versioned</x:v>
      </x:c>
    </x:row>
    <x:row r="10">
      <x:c r="A10" s="37" t="str">
        <x:v>Adamant</x:v>
      </x:c>
      <x:c r="B10" s="37" t="str">
        <x:v>6.0.4</x:v>
      </x:c>
      <x:c r="C10" s="37" t="str">
        <x:v>module crossbows/AdamantCrossbows.esp</x:v>
      </x:c>
      <x:c r="D10" s="37" t="str">
        <x:v>.esp</x:v>
      </x:c>
      <x:c r="E10" s="37" t="str">
        <x:v>4000</x:v>
      </x:c>
      <x:c r="F10" s="37" t="str">
        <x:v>0ac3c8e4fc2a2056bf8308195e46c4578c025b30b5ea957da7eb4e823b73a2fc</x:v>
      </x:c>
      <x:c r="G10" s="37" t="str">
        <x:v>plugin</x:v>
      </x:c>
      <x:c r="H10" s="37" t="str">
        <x:v>lossless_parsed</x:v>
      </x:c>
      <x:c r="I10" s="37" t="str">
        <x:v>plugin record/subrecord layer parsed and versioned</x:v>
      </x:c>
    </x:row>
    <x:row r="11">
      <x:c r="A11" s="37" t="str">
        <x:v>Adamant</x:v>
      </x:c>
      <x:c r="B11" s="37" t="str">
        <x:v>6.0.4</x:v>
      </x:c>
      <x:c r="C11" s="37" t="str">
        <x:v>module scrambled/SKSE/Plugins/ScrambledBugs.json</x:v>
      </x:c>
      <x:c r="D11" s="37" t="str">
        <x:v>.json</x:v>
      </x:c>
      <x:c r="E11" s="37" t="str">
        <x:v>4794</x:v>
      </x:c>
      <x:c r="F11" s="37" t="str">
        <x:v>d30ddc39d0c2469409bfaac24485fbcbce7957879e5968d518c80627e62671b3</x:v>
      </x:c>
      <x:c r="G11" s="37" t="str">
        <x:v>config</x:v>
      </x:c>
      <x:c r="H11" s="37" t="str">
        <x:v>decoded_config</x:v>
      </x:c>
      <x:c r="I11" s="37" t="str">
        <x:v>runtime/configuration JSON parsed, including commented Scrambled Bugs config</x:v>
      </x:c>
    </x:row>
    <x:row r="12">
      <x:c r="A12" s="37" t="str">
        <x:v>Adamant</x:v>
      </x:c>
      <x:c r="B12" s="37" t="str">
        <x:v>6.0.4</x:v>
      </x:c>
      <x:c r="C12" s="37" t="str">
        <x:v>module smithing/AdamantSmithing.esp</x:v>
      </x:c>
      <x:c r="D12" s="37" t="str">
        <x:v>.esp</x:v>
      </x:c>
      <x:c r="E12" s="37" t="str">
        <x:v>1810</x:v>
      </x:c>
      <x:c r="F12" s="37" t="str">
        <x:v>03438b005aae65624b8176db0dc476d5d37221e33c7abf40745b5bb9e4968e10</x:v>
      </x:c>
      <x:c r="G12" s="37" t="str">
        <x:v>plugin</x:v>
      </x:c>
      <x:c r="H12" s="37" t="str">
        <x:v>lossless_parsed</x:v>
      </x:c>
      <x:c r="I12" s="37" t="str">
        <x:v>plugin record/subrecord layer parsed and versioned</x:v>
      </x:c>
    </x:row>
    <x:row r="13">
      <x:c r="A13" s="37" t="str">
        <x:v>Adamant</x:v>
      </x:c>
      <x:c r="B13" s="37" t="str">
        <x:v>6.0.4</x:v>
      </x:c>
      <x:c r="C13" s="37" t="str">
        <x:v>module smithing/SKSE/Plugins/ImprovementNamesCustomizedSSE.json</x:v>
      </x:c>
      <x:c r="D13" s="37" t="str">
        <x:v>.json</x:v>
      </x:c>
      <x:c r="E13" s="37" t="str">
        <x:v>255</x:v>
      </x:c>
      <x:c r="F13" s="37" t="str">
        <x:v>1cedb78a6e19a784e3fc1125d885a534f3337ad33f85339107fc8576a4e0e8b3</x:v>
      </x:c>
      <x:c r="G13" s="37" t="str">
        <x:v>config</x:v>
      </x:c>
      <x:c r="H13" s="37" t="str">
        <x:v>decoded_config</x:v>
      </x:c>
      <x:c r="I13" s="37" t="str">
        <x:v>runtime/configuration JSON parsed, including commented Scrambled Bugs config</x:v>
      </x:c>
    </x:row>
    <x:row r="14">
      <x:c r="A14" s="37" t="str">
        <x:v>Adamant</x:v>
      </x:c>
      <x:c r="B14" s="37" t="str">
        <x:v>6.0.4</x:v>
      </x:c>
      <x:c r="C14" s="37" t="str">
        <x:v>patch attack speed/SimonrimAttackSpeedFix.esp</x:v>
      </x:c>
      <x:c r="D14" s="37" t="str">
        <x:v>.esp</x:v>
      </x:c>
      <x:c r="E14" s="37" t="str">
        <x:v>1769</x:v>
      </x:c>
      <x:c r="F14" s="37" t="str">
        <x:v>58ab14980e4722de57441e2484c0e95ebbc8a9d6546cf6a27cd6378f7347e1dc</x:v>
      </x:c>
      <x:c r="G14" s="37" t="str">
        <x:v>plugin</x:v>
      </x:c>
      <x:c r="H14" s="37" t="str">
        <x:v>lossless_parsed</x:v>
      </x:c>
      <x:c r="I14" s="37" t="str">
        <x:v>plugin record/subrecord layer parsed and versioned</x:v>
      </x:c>
    </x:row>
    <x:row r="15">
      <x:c r="A15" s="37" t="str">
        <x:v>Adamant</x:v>
      </x:c>
      <x:c r="B15" s="37" t="str">
        <x:v>6.0.4</x:v>
      </x:c>
      <x:c r="C15" s="37" t="str">
        <x:v>patch seducers/SimonrmSaintsSeducersSmithing.esp</x:v>
      </x:c>
      <x:c r="D15" s="37" t="str">
        <x:v>.esp</x:v>
      </x:c>
      <x:c r="E15" s="37" t="str">
        <x:v>553</x:v>
      </x:c>
      <x:c r="F15" s="37" t="str">
        <x:v>c2f1aa50151dd5bf9a20017ab1ec4b6d115b371b7f81d3add019f4065787592f</x:v>
      </x:c>
      <x:c r="G15" s="37" t="str">
        <x:v>plugin</x:v>
      </x:c>
      <x:c r="H15" s="37" t="str">
        <x:v>lossless_parsed</x:v>
      </x:c>
      <x:c r="I15" s="37" t="str">
        <x:v>plugin record/subrecord layer parsed and versioned</x:v>
      </x:c>
    </x:row>
    <x:row r="16">
      <x:c r="A16" s="37" t="str">
        <x:v>Blade and Blunt</x:v>
      </x:c>
      <x:c r="B16" s="37" t="str">
        <x:v>4.0.3</x:v>
      </x:c>
      <x:c r="C16" s="37" t="str">
        <x:v>fomod/ModuleConfig.xml</x:v>
      </x:c>
      <x:c r="D16" s="37" t="str">
        <x:v>.xml</x:v>
      </x:c>
      <x:c r="E16" s="37" t="str">
        <x:v>9570</x:v>
      </x:c>
      <x:c r="F16" s="37" t="str">
        <x:v>cb8f1c97e9cc214d5cc30faace6ea04720631355429a1e165f1dd580eceaa284</x:v>
      </x:c>
      <x:c r="G16" s="37" t="str">
        <x:v>config</x:v>
      </x:c>
      <x:c r="H16" s="37" t="str">
        <x:v>installer_parsed</x:v>
      </x:c>
      <x:c r="I16" s="37" t="str">
        <x:v>FOMOD option/installer metadata parsed</x:v>
      </x:c>
    </x:row>
    <x:row r="17">
      <x:c r="A17" s="37" t="str">
        <x:v>Blade and Blunt</x:v>
      </x:c>
      <x:c r="B17" s="37" t="str">
        <x:v>4.0.3</x:v>
      </x:c>
      <x:c r="C17" s="37" t="str">
        <x:v>fomod/info.xml</x:v>
      </x:c>
      <x:c r="D17" s="37" t="str">
        <x:v>.xml</x:v>
      </x:c>
      <x:c r="E17" s="37" t="str">
        <x:v>860</x:v>
      </x:c>
      <x:c r="F17" s="37" t="str">
        <x:v>159cd821f938c345bac5a9b04cb7b3f60cb845c8a81f6045ec7b51167603136c</x:v>
      </x:c>
      <x:c r="G17" s="37" t="str">
        <x:v>config</x:v>
      </x:c>
      <x:c r="H17" s="37" t="str">
        <x:v>installer_parsed</x:v>
      </x:c>
      <x:c r="I17" s="37" t="str">
        <x:v>FOMOD option/installer metadata parsed</x:v>
      </x:c>
    </x:row>
    <x:row r="18">
      <x:c r="A18" s="37" t="str">
        <x:v>Blade and Blunt</x:v>
      </x:c>
      <x:c r="B18" s="37" t="str">
        <x:v>4.0.3</x:v>
      </x:c>
      <x:c r="C18" s="37" t="str">
        <x:v>images/Blade and Blunt.png</x:v>
      </x:c>
      <x:c r="D18" s="37" t="str">
        <x:v>.png</x:v>
      </x:c>
      <x:c r="E18" s="37" t="str">
        <x:v>180451</x:v>
      </x:c>
      <x:c r="F18" s="37" t="str">
        <x:v>67c4de6a22172c405e56c4e07bf054c5fe8768da49c6a288748362324aa1b9b1</x:v>
      </x:c>
      <x:c r="G18" s="37" t="str">
        <x:v>binary_asset</x:v>
      </x:c>
      <x:c r="H18" s="37" t="str">
        <x:v>presentation_binary_inventory</x:v>
      </x:c>
      <x:c r="I18" s="37" t="str">
        <x:v>image asset inventoried and hashed</x:v>
      </x:c>
    </x:row>
    <x:row r="19">
      <x:c r="A19" s="37" t="str">
        <x:v>Blade and Blunt</x:v>
      </x:c>
      <x:c r="B19" s="37" t="str">
        <x:v>4.0.3</x:v>
      </x:c>
      <x:c r="C19" s="37" t="str">
        <x:v>main/BladeAndBlunt.bsa</x:v>
      </x:c>
      <x:c r="D19" s="37" t="str">
        <x:v>.bsa</x:v>
      </x:c>
      <x:c r="E19" s="37" t="str">
        <x:v>108314</x:v>
      </x:c>
      <x:c r="F19" s="37" t="str">
        <x:v>133d52edf532e0b41d5da1ce7d5703e1f4aee9a76283d06773250d00d4120dfe</x:v>
      </x:c>
      <x:c r="G19" s="37" t="str">
        <x:v>bsa</x:v>
      </x:c>
      <x:c r="H19" s="37" t="str">
        <x:v>member_inventory_and_text_extraction</x:v>
      </x:c>
      <x:c r="I19" s="37" t="str">
        <x:v>476 BSA members inventoried; author text/source extracted where text</x:v>
      </x:c>
    </x:row>
    <x:row r="20">
      <x:c r="A20" s="37" t="str">
        <x:v>Blade and Blunt</x:v>
      </x:c>
      <x:c r="B20" s="37" t="str">
        <x:v>4.0.3</x:v>
      </x:c>
      <x:c r="C20" s="37" t="str">
        <x:v>main/BladeAndBlunt.esp</x:v>
      </x:c>
      <x:c r="D20" s="37" t="str">
        <x:v>.esp</x:v>
      </x:c>
      <x:c r="E20" s="37" t="str">
        <x:v>179264</x:v>
      </x:c>
      <x:c r="F20" s="37" t="str">
        <x:v>fcd198027e87280cd598eed15d457818cbb32208c9827809db0587baca5de585</x:v>
      </x:c>
      <x:c r="G20" s="37" t="str">
        <x:v>plugin</x:v>
      </x:c>
      <x:c r="H20" s="37" t="str">
        <x:v>lossless_parsed</x:v>
      </x:c>
      <x:c r="I20" s="37" t="str">
        <x:v>plugin record/subrecord layer parsed and versioned</x:v>
      </x:c>
    </x:row>
    <x:row r="21">
      <x:c r="A21" s="37" t="str">
        <x:v>Blade and Blunt</x:v>
      </x:c>
      <x:c r="B21" s="37" t="str">
        <x:v>4.0.3</x:v>
      </x:c>
      <x:c r="C21" s="37" t="str">
        <x:v>main/BladeAndBlunt_DISTR.ini</x:v>
      </x:c>
      <x:c r="D21" s="37" t="str">
        <x:v>.ini</x:v>
      </x:c>
      <x:c r="E21" s="37" t="str">
        <x:v>991</x:v>
      </x:c>
      <x:c r="F21" s="37" t="str">
        <x:v>0d0e4197d9714b7da0a12e5d2740a4ad2f4cf2ac99f0b7b9f8fe35cdddfdf2fc</x:v>
      </x:c>
      <x:c r="G21" s="37" t="str">
        <x:v>config</x:v>
      </x:c>
      <x:c r="H21" s="37" t="str">
        <x:v>decoded_config</x:v>
      </x:c>
      <x:c r="I21" s="37" t="str">
        <x:v>runtime/distribution configuration parsed</x:v>
      </x:c>
    </x:row>
    <x:row r="22">
      <x:c r="A22" s="37" t="str">
        <x:v>Blade and Blunt</x:v>
      </x:c>
      <x:c r="B22" s="37" t="str">
        <x:v>4.0.3</x:v>
      </x:c>
      <x:c r="C22" s="37" t="str">
        <x:v>main/SKSE/Plugins/ActorValueData/BladeAndBlunt_AVG.toml</x:v>
      </x:c>
      <x:c r="D22" s="37" t="str">
        <x:v>.toml</x:v>
      </x:c>
      <x:c r="E22" s="37" t="str">
        <x:v>1627</x:v>
      </x:c>
      <x:c r="F22" s="37" t="str">
        <x:v>3bec5aa4bfb39290244fa90c2610e840e1be1c18b7d0d16df458aab22c419eda</x:v>
      </x:c>
      <x:c r="G22" s="37" t="str">
        <x:v>config</x:v>
      </x:c>
      <x:c r="H22" s="37" t="str">
        <x:v>decoded_config</x:v>
      </x:c>
      <x:c r="I22" s="37" t="str">
        <x:v>ActorValueData TOML parsed</x:v>
      </x:c>
    </x:row>
    <x:row r="23">
      <x:c r="A23" s="37" t="str">
        <x:v>Blade and Blunt</x:v>
      </x:c>
      <x:c r="B23" s="37" t="str">
        <x:v>4.0.3</x:v>
      </x:c>
      <x:c r="C23" s="37" t="str">
        <x:v>main/SKSE/Plugins/BladeAndBlunt.dll</x:v>
      </x:c>
      <x:c r="D23" s="37" t="str">
        <x:v>.dll</x:v>
      </x:c>
      <x:c r="E23" s="37" t="str">
        <x:v>753664</x:v>
      </x:c>
      <x:c r="F23" s="37" t="str">
        <x:v>a4bcfc3e99b86661a29418f75b810a559e418510869bd3ad8cc728f83e2a1936</x:v>
      </x:c>
      <x:c r="G23" s="37" t="str">
        <x:v>binary_asset</x:v>
      </x:c>
      <x:c r="H23" s="37" t="str">
        <x:v>binary_inventory</x:v>
      </x:c>
      <x:c r="I23" s="37" t="str">
        <x:v>SKSE/native binary inventoried and hashed; no reverse engineering</x:v>
      </x:c>
    </x:row>
    <x:row r="24">
      <x:c r="A24" s="37" t="str">
        <x:v>Blade and Blunt</x:v>
      </x:c>
      <x:c r="B24" s="37" t="str">
        <x:v>4.0.3</x:v>
      </x:c>
      <x:c r="C24" s="37" t="str">
        <x:v>main/SKSE/Plugins/BladeAndBlunt.ini</x:v>
      </x:c>
      <x:c r="D24" s="37" t="str">
        <x:v>.ini</x:v>
      </x:c>
      <x:c r="E24" s="37" t="str">
        <x:v>1227</x:v>
      </x:c>
      <x:c r="F24" s="37" t="str">
        <x:v>e2de7aa96c67d8b5ef996341373122a8f8de160fa4fefe157a9c5be4f1d588e5</x:v>
      </x:c>
      <x:c r="G24" s="37" t="str">
        <x:v>config</x:v>
      </x:c>
      <x:c r="H24" s="37" t="str">
        <x:v>decoded_config</x:v>
      </x:c>
      <x:c r="I24" s="37" t="str">
        <x:v>runtime/distribution configuration parsed</x:v>
      </x:c>
    </x:row>
    <x:row r="25">
      <x:c r="A25" s="37" t="str">
        <x:v>Blade and Blunt</x:v>
      </x:c>
      <x:c r="B25" s="37" t="str">
        <x:v>4.0.3</x:v>
      </x:c>
      <x:c r="C25" s="37" t="str">
        <x:v>main/SKSE/Plugins/BladeAndBlunt.pdb</x:v>
      </x:c>
      <x:c r="D25" s="37" t="str">
        <x:v>.pdb</x:v>
      </x:c>
      <x:c r="E25" s="37" t="str">
        <x:v>27086848</x:v>
      </x:c>
      <x:c r="F25" s="37" t="str">
        <x:v>236da1e4d3f1a9be9a7616a1e51705143d6ea0f706dfa314e0c77c6e31999d1f</x:v>
      </x:c>
      <x:c r="G25" s="37" t="str">
        <x:v>binary_asset</x:v>
      </x:c>
      <x:c r="H25" s="37" t="str">
        <x:v>binary_inventory</x:v>
      </x:c>
      <x:c r="I25" s="37" t="str">
        <x:v>debug-symbol binary inventoried and hashed; no reverse engineering</x:v>
      </x:c>
    </x:row>
    <x:row r="26">
      <x:c r="A26" s="37" t="str">
        <x:v>Blade and Blunt</x:v>
      </x:c>
      <x:c r="B26" s="37" t="str">
        <x:v>4.0.3</x:v>
      </x:c>
      <x:c r="C26" s="37" t="str">
        <x:v>main/meshes/actors/character/animations/1hm_staggerbacklarge.hkx</x:v>
      </x:c>
      <x:c r="D26" s="37" t="str">
        <x:v>.hkx</x:v>
      </x:c>
      <x:c r="E26" s="37" t="str">
        <x:v>33520</x:v>
      </x:c>
      <x:c r="F26" s="37" t="str">
        <x:v>d88183eca4180130b1707f3d41f97bd4a80224367111e056329090f7be95eb0b</x:v>
      </x:c>
      <x:c r="G26" s="37" t="str">
        <x:v>binary_asset</x:v>
      </x:c>
      <x:c r="H26" s="37" t="str">
        <x:v>presentation_binary_inventory</x:v>
      </x:c>
      <x:c r="I26" s="37" t="str">
        <x:v>animation binary inventoried and hashed</x:v>
      </x:c>
    </x:row>
    <x:row r="27">
      <x:c r="A27" s="37" t="str">
        <x:v>Blade and Blunt</x:v>
      </x:c>
      <x:c r="B27" s="37" t="str">
        <x:v>4.0.3</x:v>
      </x:c>
      <x:c r="C27" s="37" t="str">
        <x:v>main/meshes/actors/character/animations/1hm_staggerbacklargest.hkx</x:v>
      </x:c>
      <x:c r="D27" s="37" t="str">
        <x:v>.hkx</x:v>
      </x:c>
      <x:c r="E27" s="37" t="str">
        <x:v>40656</x:v>
      </x:c>
      <x:c r="F27" s="37" t="str">
        <x:v>e36f5cea10c74ec7cf84b797347f0179809f90e6fe3f6c3701c7f164107ffb0c</x:v>
      </x:c>
      <x:c r="G27" s="37" t="str">
        <x:v>binary_asset</x:v>
      </x:c>
      <x:c r="H27" s="37" t="str">
        <x:v>presentation_binary_inventory</x:v>
      </x:c>
      <x:c r="I27" s="37" t="str">
        <x:v>animation binary inventoried and hashed</x:v>
      </x:c>
    </x:row>
    <x:row r="28">
      <x:c r="A28" s="37" t="str">
        <x:v>Blade and Blunt</x:v>
      </x:c>
      <x:c r="B28" s="37" t="str">
        <x:v>4.0.3</x:v>
      </x:c>
      <x:c r="C28" s="37" t="str">
        <x:v>main/meshes/actors/character/animations/1hm_staggerbackmedium.hkx</x:v>
      </x:c>
      <x:c r="D28" s="37" t="str">
        <x:v>.hkx</x:v>
      </x:c>
      <x:c r="E28" s="37" t="str">
        <x:v>28304</x:v>
      </x:c>
      <x:c r="F28" s="37" t="str">
        <x:v>3380a7ec177a73cb5f91f34aa0b8b51e106e900136441912d4018d45bec08b97</x:v>
      </x:c>
      <x:c r="G28" s="37" t="str">
        <x:v>binary_asset</x:v>
      </x:c>
      <x:c r="H28" s="37" t="str">
        <x:v>presentation_binary_inventory</x:v>
      </x:c>
      <x:c r="I28" s="37" t="str">
        <x:v>animation binary inventoried and hashed</x:v>
      </x:c>
    </x:row>
    <x:row r="29">
      <x:c r="A29" s="37" t="str">
        <x:v>Blade and Blunt</x:v>
      </x:c>
      <x:c r="B29" s="37" t="str">
        <x:v>4.0.3</x:v>
      </x:c>
      <x:c r="C29" s="37" t="str">
        <x:v>main/meshes/actors/character/animations/1hm_staggerbacksmall.hkx</x:v>
      </x:c>
      <x:c r="D29" s="37" t="str">
        <x:v>.hkx</x:v>
      </x:c>
      <x:c r="E29" s="37" t="str">
        <x:v>20016</x:v>
      </x:c>
      <x:c r="F29" s="37" t="str">
        <x:v>7e9bfcad1a58e460bac88b413a7c6701104995bed0056495ae5f66c8209537a8</x:v>
      </x:c>
      <x:c r="G29" s="37" t="str">
        <x:v>binary_asset</x:v>
      </x:c>
      <x:c r="H29" s="37" t="str">
        <x:v>presentation_binary_inventory</x:v>
      </x:c>
      <x:c r="I29" s="37" t="str">
        <x:v>animation binary inventoried and hashed</x:v>
      </x:c>
    </x:row>
    <x:row r="30">
      <x:c r="A30" s="37" t="str">
        <x:v>Blade and Blunt</x:v>
      </x:c>
      <x:c r="B30" s="37" t="str">
        <x:v>4.0.3</x:v>
      </x:c>
      <x:c r="C30" s="37" t="str">
        <x:v>main/meshes/actors/character/animations/1hm_staggerbacksmallest.hkx</x:v>
      </x:c>
      <x:c r="D30" s="37" t="str">
        <x:v>.hkx</x:v>
      </x:c>
      <x:c r="E30" s="37" t="str">
        <x:v>15824</x:v>
      </x:c>
      <x:c r="F30" s="37" t="str">
        <x:v>5e1c979289237f590e76e6fee10fb16b53b63c7de06dd674955fdef9fc47f6e8</x:v>
      </x:c>
      <x:c r="G30" s="37" t="str">
        <x:v>binary_asset</x:v>
      </x:c>
      <x:c r="H30" s="37" t="str">
        <x:v>presentation_binary_inventory</x:v>
      </x:c>
      <x:c r="I30" s="37" t="str">
        <x:v>animation binary inventoried and hashed</x:v>
      </x:c>
    </x:row>
    <x:row r="31">
      <x:c r="A31" s="37" t="str">
        <x:v>Blade and Blunt</x:v>
      </x:c>
      <x:c r="B31" s="37" t="str">
        <x:v>4.0.3</x:v>
      </x:c>
      <x:c r="C31" s="37" t="str">
        <x:v>main/meshes/actors/character/animations/1hm_staggerforwardlarge.hkx</x:v>
      </x:c>
      <x:c r="D31" s="37" t="str">
        <x:v>.hkx</x:v>
      </x:c>
      <x:c r="E31" s="37" t="str">
        <x:v>33104</x:v>
      </x:c>
      <x:c r="F31" s="37" t="str">
        <x:v>8e5821771bb4a812e70fc7a43113e1a6fd4a6f781a0b9dc14119a32824d6a4d5</x:v>
      </x:c>
      <x:c r="G31" s="37" t="str">
        <x:v>binary_asset</x:v>
      </x:c>
      <x:c r="H31" s="37" t="str">
        <x:v>presentation_binary_inventory</x:v>
      </x:c>
      <x:c r="I31" s="37" t="str">
        <x:v>animation binary inventoried and hashed</x:v>
      </x:c>
    </x:row>
    <x:row r="32">
      <x:c r="A32" s="37" t="str">
        <x:v>Blade and Blunt</x:v>
      </x:c>
      <x:c r="B32" s="37" t="str">
        <x:v>4.0.3</x:v>
      </x:c>
      <x:c r="C32" s="37" t="str">
        <x:v>main/meshes/actors/character/animations/1hm_staggerforwardlargest.hkx</x:v>
      </x:c>
      <x:c r="D32" s="37" t="str">
        <x:v>.hkx</x:v>
      </x:c>
      <x:c r="E32" s="37" t="str">
        <x:v>38016</x:v>
      </x:c>
      <x:c r="F32" s="37" t="str">
        <x:v>c6f1fa2063ddf85cbae83ef7004c3bd12e338600c3cb934e35c8843e50e4d4e2</x:v>
      </x:c>
      <x:c r="G32" s="37" t="str">
        <x:v>binary_asset</x:v>
      </x:c>
      <x:c r="H32" s="37" t="str">
        <x:v>presentation_binary_inventory</x:v>
      </x:c>
      <x:c r="I32" s="37" t="str">
        <x:v>animation binary inventoried and hashed</x:v>
      </x:c>
    </x:row>
    <x:row r="33">
      <x:c r="A33" s="37" t="str">
        <x:v>Blade and Blunt</x:v>
      </x:c>
      <x:c r="B33" s="37" t="str">
        <x:v>4.0.3</x:v>
      </x:c>
      <x:c r="C33" s="37" t="str">
        <x:v>main/meshes/actors/character/animations/1hm_staggerforwardmedium.hkx</x:v>
      </x:c>
      <x:c r="D33" s="37" t="str">
        <x:v>.hkx</x:v>
      </x:c>
      <x:c r="E33" s="37" t="str">
        <x:v>27776</x:v>
      </x:c>
      <x:c r="F33" s="37" t="str">
        <x:v>5f1fffd40f252990612e302bc2ff3512f113f4eed7a367c459f58be4f7ec3804</x:v>
      </x:c>
      <x:c r="G33" s="37" t="str">
        <x:v>binary_asset</x:v>
      </x:c>
      <x:c r="H33" s="37" t="str">
        <x:v>presentation_binary_inventory</x:v>
      </x:c>
      <x:c r="I33" s="37" t="str">
        <x:v>animation binary inventoried and hashed</x:v>
      </x:c>
    </x:row>
    <x:row r="34">
      <x:c r="A34" s="37" t="str">
        <x:v>Blade and Blunt</x:v>
      </x:c>
      <x:c r="B34" s="37" t="str">
        <x:v>4.0.3</x:v>
      </x:c>
      <x:c r="C34" s="37" t="str">
        <x:v>main/meshes/actors/character/animations/1hm_staggerforwardsmall.hkx</x:v>
      </x:c>
      <x:c r="D34" s="37" t="str">
        <x:v>.hkx</x:v>
      </x:c>
      <x:c r="E34" s="37" t="str">
        <x:v>23952</x:v>
      </x:c>
      <x:c r="F34" s="37" t="str">
        <x:v>cd0c315702ced87a4f2cb704ce99930f6e8120de2dff87cd4576f3ced3db3172</x:v>
      </x:c>
      <x:c r="G34" s="37" t="str">
        <x:v>binary_asset</x:v>
      </x:c>
      <x:c r="H34" s="37" t="str">
        <x:v>presentation_binary_inventory</x:v>
      </x:c>
      <x:c r="I34" s="37" t="str">
        <x:v>animation binary inventoried and hashed</x:v>
      </x:c>
    </x:row>
    <x:row r="35">
      <x:c r="A35" s="37" t="str">
        <x:v>Blade and Blunt</x:v>
      </x:c>
      <x:c r="B35" s="37" t="str">
        <x:v>4.0.3</x:v>
      </x:c>
      <x:c r="C35" s="37" t="str">
        <x:v>main/meshes/actors/character/animations/2hm_staggerbacklarge.hkx</x:v>
      </x:c>
      <x:c r="D35" s="37" t="str">
        <x:v>.hkx</x:v>
      </x:c>
      <x:c r="E35" s="37" t="str">
        <x:v>30672</x:v>
      </x:c>
      <x:c r="F35" s="37" t="str">
        <x:v>ef2ecb9e145f36a41a571efdea4662ad8620b5bc3da597c8c82f73c56ddbe865</x:v>
      </x:c>
      <x:c r="G35" s="37" t="str">
        <x:v>binary_asset</x:v>
      </x:c>
      <x:c r="H35" s="37" t="str">
        <x:v>presentation_binary_inventory</x:v>
      </x:c>
      <x:c r="I35" s="37" t="str">
        <x:v>animation binary inventoried and hashed</x:v>
      </x:c>
    </x:row>
    <x:row r="36">
      <x:c r="A36" s="37" t="str">
        <x:v>Blade and Blunt</x:v>
      </x:c>
      <x:c r="B36" s="37" t="str">
        <x:v>4.0.3</x:v>
      </x:c>
      <x:c r="C36" s="37" t="str">
        <x:v>main/meshes/actors/character/animations/2hm_staggerbacklargest.hkx</x:v>
      </x:c>
      <x:c r="D36" s="37" t="str">
        <x:v>.hkx</x:v>
      </x:c>
      <x:c r="E36" s="37" t="str">
        <x:v>34080</x:v>
      </x:c>
      <x:c r="F36" s="37" t="str">
        <x:v>fd6377ae0e07d5b9eda19fbee25a70e211f2509ae3732e4790784d00fff2d79a</x:v>
      </x:c>
      <x:c r="G36" s="37" t="str">
        <x:v>binary_asset</x:v>
      </x:c>
      <x:c r="H36" s="37" t="str">
        <x:v>presentation_binary_inventory</x:v>
      </x:c>
      <x:c r="I36" s="37" t="str">
        <x:v>animation binary inventoried and hashed</x:v>
      </x:c>
    </x:row>
    <x:row r="37">
      <x:c r="A37" s="37" t="str">
        <x:v>Blade and Blunt</x:v>
      </x:c>
      <x:c r="B37" s="37" t="str">
        <x:v>4.0.3</x:v>
      </x:c>
      <x:c r="C37" s="37" t="str">
        <x:v>main/meshes/actors/character/animations/2hm_staggerbackmedium.hkx</x:v>
      </x:c>
      <x:c r="D37" s="37" t="str">
        <x:v>.hkx</x:v>
      </x:c>
      <x:c r="E37" s="37" t="str">
        <x:v>27408</x:v>
      </x:c>
      <x:c r="F37" s="37" t="str">
        <x:v>14ba20ee151e789dd9f7fb1a69453702b8dcc24d13bc6a0c6621d9558cc41b7e</x:v>
      </x:c>
      <x:c r="G37" s="37" t="str">
        <x:v>binary_asset</x:v>
      </x:c>
      <x:c r="H37" s="37" t="str">
        <x:v>presentation_binary_inventory</x:v>
      </x:c>
      <x:c r="I37" s="37" t="str">
        <x:v>animation binary inventoried and hashed</x:v>
      </x:c>
    </x:row>
    <x:row r="38">
      <x:c r="A38" s="37" t="str">
        <x:v>Blade and Blunt</x:v>
      </x:c>
      <x:c r="B38" s="37" t="str">
        <x:v>4.0.3</x:v>
      </x:c>
      <x:c r="C38" s="37" t="str">
        <x:v>main/meshes/actors/character/animations/2hm_staggerbacksmall.hkx</x:v>
      </x:c>
      <x:c r="D38" s="37" t="str">
        <x:v>.hkx</x:v>
      </x:c>
      <x:c r="E38" s="37" t="str">
        <x:v>21072</x:v>
      </x:c>
      <x:c r="F38" s="37" t="str">
        <x:v>fc1bd941522cdaffad49d2c2d576ee3836397baf101de67cd2a2d2fb193da233</x:v>
      </x:c>
      <x:c r="G38" s="37" t="str">
        <x:v>binary_asset</x:v>
      </x:c>
      <x:c r="H38" s="37" t="str">
        <x:v>presentation_binary_inventory</x:v>
      </x:c>
      <x:c r="I38" s="37" t="str">
        <x:v>animation binary inventoried and hashed</x:v>
      </x:c>
    </x:row>
    <x:row r="39">
      <x:c r="A39" s="37" t="str">
        <x:v>Blade and Blunt</x:v>
      </x:c>
      <x:c r="B39" s="37" t="str">
        <x:v>4.0.3</x:v>
      </x:c>
      <x:c r="C39" s="37" t="str">
        <x:v>main/meshes/actors/character/animations/2hm_staggerbacksmallest.hkx</x:v>
      </x:c>
      <x:c r="D39" s="37" t="str">
        <x:v>.hkx</x:v>
      </x:c>
      <x:c r="E39" s="37" t="str">
        <x:v>16944</x:v>
      </x:c>
      <x:c r="F39" s="37" t="str">
        <x:v>c400ab5cb5cd917ea588773426520996d36336090d13d5cbe412a8e8f7281661</x:v>
      </x:c>
      <x:c r="G39" s="37" t="str">
        <x:v>binary_asset</x:v>
      </x:c>
      <x:c r="H39" s="37" t="str">
        <x:v>presentation_binary_inventory</x:v>
      </x:c>
      <x:c r="I39" s="37" t="str">
        <x:v>animation binary inventoried and hashed</x:v>
      </x:c>
    </x:row>
    <x:row r="40">
      <x:c r="A40" s="37" t="str">
        <x:v>Blade and Blunt</x:v>
      </x:c>
      <x:c r="B40" s="37" t="str">
        <x:v>4.0.3</x:v>
      </x:c>
      <x:c r="C40" s="37" t="str">
        <x:v>main/meshes/actors/character/animations/2hw_staggerbacklarge.hkx</x:v>
      </x:c>
      <x:c r="D40" s="37" t="str">
        <x:v>.hkx</x:v>
      </x:c>
      <x:c r="E40" s="37" t="str">
        <x:v>30816</x:v>
      </x:c>
      <x:c r="F40" s="37" t="str">
        <x:v>6b3cac12854119f3ff7e68703861832891a155e515fc98678b72dcbf1aab574e</x:v>
      </x:c>
      <x:c r="G40" s="37" t="str">
        <x:v>binary_asset</x:v>
      </x:c>
      <x:c r="H40" s="37" t="str">
        <x:v>presentation_binary_inventory</x:v>
      </x:c>
      <x:c r="I40" s="37" t="str">
        <x:v>animation binary inventoried and hashed</x:v>
      </x:c>
    </x:row>
    <x:row r="41">
      <x:c r="A41" s="37" t="str">
        <x:v>Blade and Blunt</x:v>
      </x:c>
      <x:c r="B41" s="37" t="str">
        <x:v>4.0.3</x:v>
      </x:c>
      <x:c r="C41" s="37" t="str">
        <x:v>main/meshes/actors/character/animations/2hw_staggerbacklargest.hkx</x:v>
      </x:c>
      <x:c r="D41" s="37" t="str">
        <x:v>.hkx</x:v>
      </x:c>
      <x:c r="E41" s="37" t="str">
        <x:v>33360</x:v>
      </x:c>
      <x:c r="F41" s="37" t="str">
        <x:v>2f3a523ead448b022df224515a425b7e8853b56a9d89ae4caf7f9aada7c1fab7</x:v>
      </x:c>
      <x:c r="G41" s="37" t="str">
        <x:v>binary_asset</x:v>
      </x:c>
      <x:c r="H41" s="37" t="str">
        <x:v>presentation_binary_inventory</x:v>
      </x:c>
      <x:c r="I41" s="37" t="str">
        <x:v>animation binary inventoried and hashed</x:v>
      </x:c>
    </x:row>
    <x:row r="42">
      <x:c r="A42" s="37" t="str">
        <x:v>Blade and Blunt</x:v>
      </x:c>
      <x:c r="B42" s="37" t="str">
        <x:v>4.0.3</x:v>
      </x:c>
      <x:c r="C42" s="37" t="str">
        <x:v>main/meshes/actors/character/animations/2hw_staggerbackmedium.hkx</x:v>
      </x:c>
      <x:c r="D42" s="37" t="str">
        <x:v>.hkx</x:v>
      </x:c>
      <x:c r="E42" s="37" t="str">
        <x:v>27760</x:v>
      </x:c>
      <x:c r="F42" s="37" t="str">
        <x:v>97b10d82cbfc440b0723ca1597a2b6728991bc7ed1dd0f86d64d0e813240af3b</x:v>
      </x:c>
      <x:c r="G42" s="37" t="str">
        <x:v>binary_asset</x:v>
      </x:c>
      <x:c r="H42" s="37" t="str">
        <x:v>presentation_binary_inventory</x:v>
      </x:c>
      <x:c r="I42" s="37" t="str">
        <x:v>animation binary inventoried and hashed</x:v>
      </x:c>
    </x:row>
    <x:row r="43">
      <x:c r="A43" s="37" t="str">
        <x:v>Blade and Blunt</x:v>
      </x:c>
      <x:c r="B43" s="37" t="str">
        <x:v>4.0.3</x:v>
      </x:c>
      <x:c r="C43" s="37" t="str">
        <x:v>main/meshes/actors/character/animations/2hw_staggerbacksmall.hkx</x:v>
      </x:c>
      <x:c r="D43" s="37" t="str">
        <x:v>.hkx</x:v>
      </x:c>
      <x:c r="E43" s="37" t="str">
        <x:v>20528</x:v>
      </x:c>
      <x:c r="F43" s="37" t="str">
        <x:v>4c9877a5a7eb5e0a88d1fb5928905f70936a163c8c9133a272db9e305143648d</x:v>
      </x:c>
      <x:c r="G43" s="37" t="str">
        <x:v>binary_asset</x:v>
      </x:c>
      <x:c r="H43" s="37" t="str">
        <x:v>presentation_binary_inventory</x:v>
      </x:c>
      <x:c r="I43" s="37" t="str">
        <x:v>animation binary inventoried and hashed</x:v>
      </x:c>
    </x:row>
    <x:row r="44">
      <x:c r="A44" s="37" t="str">
        <x:v>Blade and Blunt</x:v>
      </x:c>
      <x:c r="B44" s="37" t="str">
        <x:v>4.0.3</x:v>
      </x:c>
      <x:c r="C44" s="37" t="str">
        <x:v>main/meshes/actors/character/animations/2hw_staggerbacksmallest.hkx</x:v>
      </x:c>
      <x:c r="D44" s="37" t="str">
        <x:v>.hkx</x:v>
      </x:c>
      <x:c r="E44" s="37" t="str">
        <x:v>15248</x:v>
      </x:c>
      <x:c r="F44" s="37" t="str">
        <x:v>6038f628347f59bd0299c1fe64ef3aab1c2d9a6e840113fa05a19e4726e19534</x:v>
      </x:c>
      <x:c r="G44" s="37" t="str">
        <x:v>binary_asset</x:v>
      </x:c>
      <x:c r="H44" s="37" t="str">
        <x:v>presentation_binary_inventory</x:v>
      </x:c>
      <x:c r="I44" s="37" t="str">
        <x:v>animation binary inventoried and hashed</x:v>
      </x:c>
    </x:row>
    <x:row r="45">
      <x:c r="A45" s="37" t="str">
        <x:v>Blade and Blunt</x:v>
      </x:c>
      <x:c r="B45" s="37" t="str">
        <x:v>4.0.3</x:v>
      </x:c>
      <x:c r="C45" s="37" t="str">
        <x:v>main/meshes/actors/character/animations/h2h_staggerbacklarge.hkx</x:v>
      </x:c>
      <x:c r="D45" s="37" t="str">
        <x:v>.hkx</x:v>
      </x:c>
      <x:c r="E45" s="37" t="str">
        <x:v>27904</x:v>
      </x:c>
      <x:c r="F45" s="37" t="str">
        <x:v>1375d607461693c1c2463909ecc627708268f47cf0fa75a9272edd36cfaf92db</x:v>
      </x:c>
      <x:c r="G45" s="37" t="str">
        <x:v>binary_asset</x:v>
      </x:c>
      <x:c r="H45" s="37" t="str">
        <x:v>presentation_binary_inventory</x:v>
      </x:c>
      <x:c r="I45" s="37" t="str">
        <x:v>animation binary inventoried and hashed</x:v>
      </x:c>
    </x:row>
    <x:row r="46">
      <x:c r="A46" s="37" t="str">
        <x:v>Blade and Blunt</x:v>
      </x:c>
      <x:c r="B46" s="37" t="str">
        <x:v>4.0.3</x:v>
      </x:c>
      <x:c r="C46" s="37" t="str">
        <x:v>main/meshes/actors/character/animations/h2h_staggerbacklargest.hkx</x:v>
      </x:c>
      <x:c r="D46" s="37" t="str">
        <x:v>.hkx</x:v>
      </x:c>
      <x:c r="E46" s="37" t="str">
        <x:v>30240</x:v>
      </x:c>
      <x:c r="F46" s="37" t="str">
        <x:v>b482f2cd32e591dcb8459dd699687bb6198ca278630f856d30ba88bee41934ed</x:v>
      </x:c>
      <x:c r="G46" s="37" t="str">
        <x:v>binary_asset</x:v>
      </x:c>
      <x:c r="H46" s="37" t="str">
        <x:v>presentation_binary_inventory</x:v>
      </x:c>
      <x:c r="I46" s="37" t="str">
        <x:v>animation binary inventoried and hashed</x:v>
      </x:c>
    </x:row>
    <x:row r="47">
      <x:c r="A47" s="37" t="str">
        <x:v>Blade and Blunt</x:v>
      </x:c>
      <x:c r="B47" s="37" t="str">
        <x:v>4.0.3</x:v>
      </x:c>
      <x:c r="C47" s="37" t="str">
        <x:v>main/meshes/actors/character/animations/h2h_staggerbackmedium.hkx</x:v>
      </x:c>
      <x:c r="D47" s="37" t="str">
        <x:v>.hkx</x:v>
      </x:c>
      <x:c r="E47" s="37" t="str">
        <x:v>23824</x:v>
      </x:c>
      <x:c r="F47" s="37" t="str">
        <x:v>c8527c02d0b8b88ffe0b14ea76cdd208e756ffeeb2f0fcf86bb1e243248b5e6a</x:v>
      </x:c>
      <x:c r="G47" s="37" t="str">
        <x:v>binary_asset</x:v>
      </x:c>
      <x:c r="H47" s="37" t="str">
        <x:v>presentation_binary_inventory</x:v>
      </x:c>
      <x:c r="I47" s="37" t="str">
        <x:v>animation binary inventoried and hashed</x:v>
      </x:c>
    </x:row>
    <x:row r="48">
      <x:c r="A48" s="37" t="str">
        <x:v>Blade and Blunt</x:v>
      </x:c>
      <x:c r="B48" s="37" t="str">
        <x:v>4.0.3</x:v>
      </x:c>
      <x:c r="C48" s="37" t="str">
        <x:v>main/meshes/actors/character/animations/h2h_staggerbacksmall.hkx</x:v>
      </x:c>
      <x:c r="D48" s="37" t="str">
        <x:v>.hkx</x:v>
      </x:c>
      <x:c r="E48" s="37" t="str">
        <x:v>17664</x:v>
      </x:c>
      <x:c r="F48" s="37" t="str">
        <x:v>c06bc79165a505005075e7f7de0cfdfcf9064217089da3618bec7fb48c535382</x:v>
      </x:c>
      <x:c r="G48" s="37" t="str">
        <x:v>binary_asset</x:v>
      </x:c>
      <x:c r="H48" s="37" t="str">
        <x:v>presentation_binary_inventory</x:v>
      </x:c>
      <x:c r="I48" s="37" t="str">
        <x:v>animation binary inventoried and hashed</x:v>
      </x:c>
    </x:row>
    <x:row r="49">
      <x:c r="A49" s="37" t="str">
        <x:v>Blade and Blunt</x:v>
      </x:c>
      <x:c r="B49" s="37" t="str">
        <x:v>4.0.3</x:v>
      </x:c>
      <x:c r="C49" s="37" t="str">
        <x:v>main/meshes/actors/character/animations/h2h_staggerbacksmallest.hkx</x:v>
      </x:c>
      <x:c r="D49" s="37" t="str">
        <x:v>.hkx</x:v>
      </x:c>
      <x:c r="E49" s="37" t="str">
        <x:v>13552</x:v>
      </x:c>
      <x:c r="F49" s="37" t="str">
        <x:v>38279ef9d174b00c16122e06d924ee450ae82b13f6bf8469af0b4d1ed919dc3c</x:v>
      </x:c>
      <x:c r="G49" s="37" t="str">
        <x:v>binary_asset</x:v>
      </x:c>
      <x:c r="H49" s="37" t="str">
        <x:v>presentation_binary_inventory</x:v>
      </x:c>
      <x:c r="I49" s="37" t="str">
        <x:v>animation binary inventoried and hashed</x:v>
      </x:c>
    </x:row>
    <x:row r="50">
      <x:c r="A50" s="37" t="str">
        <x:v>Blade and Blunt</x:v>
      </x:c>
      <x:c r="B50" s="37" t="str">
        <x:v>4.0.3</x:v>
      </x:c>
      <x:c r="C50" s="37" t="str">
        <x:v>module no casting changes/BBNoCastingChanges.esp</x:v>
      </x:c>
      <x:c r="D50" s="37" t="str">
        <x:v>.esp</x:v>
      </x:c>
      <x:c r="E50" s="37" t="str">
        <x:v>445</x:v>
      </x:c>
      <x:c r="F50" s="37" t="str">
        <x:v>5683d29782a1d57de9c0c2327cc5ce524f0807d03ebaf70990df8e7c78e12ad1</x:v>
      </x:c>
      <x:c r="G50" s="37" t="str">
        <x:v>plugin</x:v>
      </x:c>
      <x:c r="H50" s="37" t="str">
        <x:v>lossless_parsed</x:v>
      </x:c>
      <x:c r="I50" s="37" t="str">
        <x:v>plugin record/subrecord layer parsed and versioned</x:v>
      </x:c>
    </x:row>
    <x:row r="51">
      <x:c r="A51" s="37" t="str">
        <x:v>Blade and Blunt</x:v>
      </x:c>
      <x:c r="B51" s="37" t="str">
        <x:v>4.0.3</x:v>
      </x:c>
      <x:c r="C51" s="37" t="str">
        <x:v>module no jump stamina/BBNoJumpCost.esp</x:v>
      </x:c>
      <x:c r="D51" s="37" t="str">
        <x:v>.esp</x:v>
      </x:c>
      <x:c r="E51" s="37" t="str">
        <x:v>403</x:v>
      </x:c>
      <x:c r="F51" s="37" t="str">
        <x:v>9e8256765ac367544b022d196608980902834044b0dd67d7ba23e0e5516a31c6</x:v>
      </x:c>
      <x:c r="G51" s="37" t="str">
        <x:v>plugin</x:v>
      </x:c>
      <x:c r="H51" s="37" t="str">
        <x:v>lossless_parsed</x:v>
      </x:c>
      <x:c r="I51" s="37" t="str">
        <x:v>plugin record/subrecord layer parsed and versioned</x:v>
      </x:c>
    </x:row>
    <x:row r="52">
      <x:c r="A52" s="37" t="str">
        <x:v>Blade and Blunt</x:v>
      </x:c>
      <x:c r="B52" s="37" t="str">
        <x:v>4.0.3</x:v>
      </x:c>
      <x:c r="C52" s="37" t="str">
        <x:v>module no kill moves/BBNoKillmoves.esp</x:v>
      </x:c>
      <x:c r="D52" s="37" t="str">
        <x:v>.esp</x:v>
      </x:c>
      <x:c r="E52" s="37" t="str">
        <x:v>5671</x:v>
      </x:c>
      <x:c r="F52" s="37" t="str">
        <x:v>7a87e3d741497877b03cb89ae2558f8751673b51fc3ff9c9ee7a4d2950dfedc6</x:v>
      </x:c>
      <x:c r="G52" s="37" t="str">
        <x:v>plugin</x:v>
      </x:c>
      <x:c r="H52" s="37" t="str">
        <x:v>lossless_parsed</x:v>
      </x:c>
      <x:c r="I52" s="37" t="str">
        <x:v>plugin record/subrecord layer parsed and versioned</x:v>
      </x:c>
    </x:row>
    <x:row r="53">
      <x:c r="A53" s="37" t="str">
        <x:v>Blade and Blunt</x:v>
      </x:c>
      <x:c r="B53" s="37" t="str">
        <x:v>4.0.3</x:v>
      </x:c>
      <x:c r="C53" s="37" t="str">
        <x:v>module no kill moves/BBNoKillmoves.ini</x:v>
      </x:c>
      <x:c r="D53" s="37" t="str">
        <x:v>.ini</x:v>
      </x:c>
      <x:c r="E53" s="37" t="str">
        <x:v>22</x:v>
      </x:c>
      <x:c r="F53" s="37" t="str">
        <x:v>359bbff3785eb9337f6d070236652241ed7cefb51275af3ac5442c0565cf42f9</x:v>
      </x:c>
      <x:c r="G53" s="37" t="str">
        <x:v>config</x:v>
      </x:c>
      <x:c r="H53" s="37" t="str">
        <x:v>decoded_config</x:v>
      </x:c>
      <x:c r="I53" s="37" t="str">
        <x:v>runtime/distribution configuration parsed</x:v>
      </x:c>
    </x:row>
    <x:row r="54">
      <x:c r="A54" s="37" t="str">
        <x:v>Blade and Blunt</x:v>
      </x:c>
      <x:c r="B54" s="37" t="str">
        <x:v>4.0.3</x:v>
      </x:c>
      <x:c r="C54" s="37" t="str">
        <x:v>module no power attack changes/BBNoPowerAttackChanges.esp</x:v>
      </x:c>
      <x:c r="D54" s="37" t="str">
        <x:v>.esp</x:v>
      </x:c>
      <x:c r="E54" s="37" t="str">
        <x:v>922</x:v>
      </x:c>
      <x:c r="F54" s="37" t="str">
        <x:v>985bfbfd3e82f6ab1119a75b9ad3fc04169a943218edd8de1f36007c0f3908f0</x:v>
      </x:c>
      <x:c r="G54" s="37" t="str">
        <x:v>plugin</x:v>
      </x:c>
      <x:c r="H54" s="37" t="str">
        <x:v>lossless_parsed</x:v>
      </x:c>
      <x:c r="I54" s="37" t="str">
        <x:v>plugin record/subrecord layer parsed and versioned</x:v>
      </x:c>
    </x:row>
    <x:row r="55">
      <x:c r="A55" s="37" t="str">
        <x:v>Blade and Blunt</x:v>
      </x:c>
      <x:c r="B55" s="37" t="str">
        <x:v>4.0.3</x:v>
      </x:c>
      <x:c r="C55" s="37" t="str">
        <x:v>module no sneak stamina/BBNoSneakCost.esp</x:v>
      </x:c>
      <x:c r="D55" s="37" t="str">
        <x:v>.esp</x:v>
      </x:c>
      <x:c r="E55" s="37" t="str">
        <x:v>540</x:v>
      </x:c>
      <x:c r="F55" s="37" t="str">
        <x:v>92c4aad6c9d08dfeb4229d59a917b853cf593ac0eed1d5f49e448b03b44a4239</x:v>
      </x:c>
      <x:c r="G55" s="37" t="str">
        <x:v>plugin</x:v>
      </x:c>
      <x:c r="H55" s="37" t="str">
        <x:v>lossless_parsed</x:v>
      </x:c>
      <x:c r="I55" s="37" t="str">
        <x:v>plugin record/subrecord layer parsed and versioned</x:v>
      </x:c>
    </x:row>
    <x:row r="56">
      <x:c r="A56" s="37" t="str">
        <x:v>Blade and Blunt</x:v>
      </x:c>
      <x:c r="B56" s="37" t="str">
        <x:v>4.0.3</x:v>
      </x:c>
      <x:c r="C56" s="37" t="str">
        <x:v>module no sprint changes/BBNoSprintChanges.esp</x:v>
      </x:c>
      <x:c r="D56" s="37" t="str">
        <x:v>.esp</x:v>
      </x:c>
      <x:c r="E56" s="37" t="str">
        <x:v>1068</x:v>
      </x:c>
      <x:c r="F56" s="37" t="str">
        <x:v>2df8821af5f965779e9639e1dcd991369558f5779c3822384796cd0ac258c199</x:v>
      </x:c>
      <x:c r="G56" s="37" t="str">
        <x:v>plugin</x:v>
      </x:c>
      <x:c r="H56" s="37" t="str">
        <x:v>lossless_parsed</x:v>
      </x:c>
      <x:c r="I56" s="37" t="str">
        <x:v>plugin record/subrecord layer parsed and versioned</x:v>
      </x:c>
    </x:row>
    <x:row r="57">
      <x:c r="A57" s="37" t="str">
        <x:v>Blade and Blunt</x:v>
      </x:c>
      <x:c r="B57" s="37" t="str">
        <x:v>4.0.3</x:v>
      </x:c>
      <x:c r="C57" s="37" t="str">
        <x:v>module no swim stamina/BBNoSwimCost.esp</x:v>
      </x:c>
      <x:c r="D57" s="37" t="str">
        <x:v>.esp</x:v>
      </x:c>
      <x:c r="E57" s="37" t="str">
        <x:v>476</x:v>
      </x:c>
      <x:c r="F57" s="37" t="str">
        <x:v>47e761277f76372c5054c127420cf2f1fa22bb7d78b98b0b8a725bf82f8ea25f</x:v>
      </x:c>
      <x:c r="G57" s="37" t="str">
        <x:v>plugin</x:v>
      </x:c>
      <x:c r="H57" s="37" t="str">
        <x:v>lossless_parsed</x:v>
      </x:c>
      <x:c r="I57" s="37" t="str">
        <x:v>plugin record/subrecord layer parsed and versioned</x:v>
      </x:c>
    </x:row>
    <x:row r="58">
      <x:c r="A58" s="37" t="str">
        <x:v>Blade and Blunt</x:v>
      </x:c>
      <x:c r="B58" s="37" t="str">
        <x:v>4.0.3</x:v>
      </x:c>
      <x:c r="C58" s="37" t="str">
        <x:v>module vanilla difficulty modifiers/BBVanillaSliders.esp</x:v>
      </x:c>
      <x:c r="D58" s="37" t="str">
        <x:v>.esp</x:v>
      </x:c>
      <x:c r="E58" s="37" t="str">
        <x:v>861</x:v>
      </x:c>
      <x:c r="F58" s="37" t="str">
        <x:v>6dd131032e816ba0b8a115d3b5367929521fd7e6104b7a4e6c5fa485e5a7c7fe</x:v>
      </x:c>
      <x:c r="G58" s="37" t="str">
        <x:v>plugin</x:v>
      </x:c>
      <x:c r="H58" s="37" t="str">
        <x:v>lossless_parsed</x:v>
      </x:c>
      <x:c r="I58" s="37" t="str">
        <x:v>plugin record/subrecord layer parsed and versioned</x:v>
      </x:c>
    </x:row>
    <x:row r="59">
      <x:c r="A59" s="37" t="str">
        <x:v>Hand to Hand</x:v>
      </x:c>
      <x:c r="B59" s="37" t="str">
        <x:v>2.0.2</x:v>
      </x:c>
      <x:c r="C59" s="37" t="str">
        <x:v>HandtoHand.bsa</x:v>
      </x:c>
      <x:c r="D59" s="37" t="str">
        <x:v>.bsa</x:v>
      </x:c>
      <x:c r="E59" s="37" t="str">
        <x:v>1149073</x:v>
      </x:c>
      <x:c r="F59" s="37" t="str">
        <x:v>3ecf0dd71b8a0a1e06ab316624cfd9453902de6d445260c5bf1b4a5b8408b51b</x:v>
      </x:c>
      <x:c r="G59" s="37" t="str">
        <x:v>bsa</x:v>
      </x:c>
      <x:c r="H59" s="37" t="str">
        <x:v>member_inventory_and_text_extraction</x:v>
      </x:c>
      <x:c r="I59" s="37" t="str">
        <x:v>476 BSA members inventoried; author text/source extracted where text</x:v>
      </x:c>
    </x:row>
    <x:row r="60">
      <x:c r="A60" s="37" t="str">
        <x:v>Hand to Hand</x:v>
      </x:c>
      <x:c r="B60" s="37" t="str">
        <x:v>2.0.2</x:v>
      </x:c>
      <x:c r="C60" s="37" t="str">
        <x:v>HandtoHand.esp</x:v>
      </x:c>
      <x:c r="D60" s="37" t="str">
        <x:v>.esp</x:v>
      </x:c>
      <x:c r="E60" s="37" t="str">
        <x:v>36493</x:v>
      </x:c>
      <x:c r="F60" s="37" t="str">
        <x:v>e8d09810bda6e5ce541ad77cb6b53e27b3a75ca636606b001459bfac71a348d9</x:v>
      </x:c>
      <x:c r="G60" s="37" t="str">
        <x:v>plugin</x:v>
      </x:c>
      <x:c r="H60" s="37" t="str">
        <x:v>lossless_parsed</x:v>
      </x:c>
      <x:c r="I60" s="37" t="str">
        <x:v>plugin record/subrecord layer parsed and versioned</x:v>
      </x:c>
    </x:row>
    <x:row r="61">
      <x:c r="A61" s="37" t="str">
        <x:v>Hand to Hand</x:v>
      </x:c>
      <x:c r="B61" s="37" t="str">
        <x:v>2.0.2</x:v>
      </x:c>
      <x:c r="C61" s="37" t="str">
        <x:v>SKSE/Plugins/HandToHand.dll</x:v>
      </x:c>
      <x:c r="D61" s="37" t="str">
        <x:v>.dll</x:v>
      </x:c>
      <x:c r="E61" s="37" t="str">
        <x:v>627712</x:v>
      </x:c>
      <x:c r="F61" s="37" t="str">
        <x:v>0260d98a2bb448c4ccca599781c7608fe12321b85608f7045fd082a78881577d</x:v>
      </x:c>
      <x:c r="G61" s="37" t="str">
        <x:v>binary_asset</x:v>
      </x:c>
      <x:c r="H61" s="37" t="str">
        <x:v>binary_inventory</x:v>
      </x:c>
      <x:c r="I61" s="37" t="str">
        <x:v>SKSE/native binary inventoried and hashed; no reverse engineering</x:v>
      </x:c>
    </x:row>
    <x:row r="62">
      <x:c r="A62" s="37" t="str">
        <x:v>Hand to Hand</x:v>
      </x:c>
      <x:c r="B62" s="37" t="str">
        <x:v>2.0.2</x:v>
      </x:c>
      <x:c r="C62" s="37" t="str">
        <x:v>SKSE/Plugins/HandToHand.ini</x:v>
      </x:c>
      <x:c r="D62" s="37" t="str">
        <x:v>.ini</x:v>
      </x:c>
      <x:c r="E62" s="37" t="str">
        <x:v>95</x:v>
      </x:c>
      <x:c r="F62" s="37" t="str">
        <x:v>a4ad7cb9f89b30d12275d1627c11fd6de398cbd3aebe7186ee06916e015094b2</x:v>
      </x:c>
      <x:c r="G62" s="37" t="str">
        <x:v>config</x:v>
      </x:c>
      <x:c r="H62" s="37" t="str">
        <x:v>decoded_config</x:v>
      </x:c>
      <x:c r="I62" s="37" t="str">
        <x:v>runtime/distribution configuration parsed</x:v>
      </x:c>
    </x:row>
    <x:row r="63">
      <x:c r="A63" s="37" t="str">
        <x:v>Hand to Hand</x:v>
      </x:c>
      <x:c r="B63" s="37" t="str">
        <x:v>2.0.2</x:v>
      </x:c>
      <x:c r="C63" s="37" t="str">
        <x:v>SKSE/Plugins/HandToHand.pdb</x:v>
      </x:c>
      <x:c r="D63" s="37" t="str">
        <x:v>.pdb</x:v>
      </x:c>
      <x:c r="E63" s="37" t="str">
        <x:v>25899008</x:v>
      </x:c>
      <x:c r="F63" s="37" t="str">
        <x:v>9137fd6df8d505a39173614a20239871d36698bfb0bafed9087970cf20d400bc</x:v>
      </x:c>
      <x:c r="G63" s="37" t="str">
        <x:v>binary_asset</x:v>
      </x:c>
      <x:c r="H63" s="37" t="str">
        <x:v>binary_inventory</x:v>
      </x:c>
      <x:c r="I63" s="37" t="str">
        <x:v>debug-symbol binary inventoried and hashed; no reverse engineering</x:v>
      </x:c>
    </x:row>
    <x:row r="64">
      <x:c r="A64" s="37" t="str">
        <x:v>Mysticism</x:v>
      </x:c>
      <x:c r="B64" s="37" t="str">
        <x:v>2.5.0</x:v>
      </x:c>
      <x:c r="C64" s="37" t="str">
        <x:v>fomod/ModuleConfig.xml</x:v>
      </x:c>
      <x:c r="D64" s="37" t="str">
        <x:v>.xml</x:v>
      </x:c>
      <x:c r="E64" s="37" t="str">
        <x:v>6214</x:v>
      </x:c>
      <x:c r="F64" s="37" t="str">
        <x:v>04c9e1c3530e4ae5736f4263ca6552fe6883d6a77709e57a80b709325b61edbc</x:v>
      </x:c>
      <x:c r="G64" s="37" t="str">
        <x:v>config</x:v>
      </x:c>
      <x:c r="H64" s="37" t="str">
        <x:v>installer_parsed</x:v>
      </x:c>
      <x:c r="I64" s="37" t="str">
        <x:v>FOMOD option/installer metadata parsed</x:v>
      </x:c>
    </x:row>
    <x:row r="65">
      <x:c r="A65" s="37" t="str">
        <x:v>Mysticism</x:v>
      </x:c>
      <x:c r="B65" s="37" t="str">
        <x:v>2.5.0</x:v>
      </x:c>
      <x:c r="C65" s="37" t="str">
        <x:v>fomod/info.xml</x:v>
      </x:c>
      <x:c r="D65" s="37" t="str">
        <x:v>.xml</x:v>
      </x:c>
      <x:c r="E65" s="37" t="str">
        <x:v>920</x:v>
      </x:c>
      <x:c r="F65" s="37" t="str">
        <x:v>413bfbbe50c50df2b43dbfe07b7fa365f333e5dda005e485c96774b476b3fdd2</x:v>
      </x:c>
      <x:c r="G65" s="37" t="str">
        <x:v>config</x:v>
      </x:c>
      <x:c r="H65" s="37" t="str">
        <x:v>installer_parsed</x:v>
      </x:c>
      <x:c r="I65" s="37" t="str">
        <x:v>FOMOD option/installer metadata parsed</x:v>
      </x:c>
    </x:row>
    <x:row r="66">
      <x:c r="A66" s="37" t="str">
        <x:v>Mysticism</x:v>
      </x:c>
      <x:c r="B66" s="37" t="str">
        <x:v>2.5.0</x:v>
      </x:c>
      <x:c r="C66" s="37" t="str">
        <x:v>images/mysticism.png</x:v>
      </x:c>
      <x:c r="D66" s="37" t="str">
        <x:v>.png</x:v>
      </x:c>
      <x:c r="E66" s="37" t="str">
        <x:v>164798</x:v>
      </x:c>
      <x:c r="F66" s="37" t="str">
        <x:v>ccbefab364d2800a6434b24f27360b650ce8800bcdd5af0ed18868ffe853929a</x:v>
      </x:c>
      <x:c r="G66" s="37" t="str">
        <x:v>binary_asset</x:v>
      </x:c>
      <x:c r="H66" s="37" t="str">
        <x:v>presentation_binary_inventory</x:v>
      </x:c>
      <x:c r="I66" s="37" t="str">
        <x:v>image asset inventoried and hashed</x:v>
      </x:c>
    </x:row>
    <x:row r="67">
      <x:c r="A67" s="37" t="str">
        <x:v>Mysticism</x:v>
      </x:c>
      <x:c r="B67" s="37" t="str">
        <x:v>2.5.0</x:v>
      </x:c>
      <x:c r="C67" s="37" t="str">
        <x:v>main/MysticismMagic.bsa</x:v>
      </x:c>
      <x:c r="D67" s="37" t="str">
        <x:v>.bsa</x:v>
      </x:c>
      <x:c r="E67" s="37" t="str">
        <x:v>31571569</x:v>
      </x:c>
      <x:c r="F67" s="37" t="str">
        <x:v>1ac6ef2579ea25aacd42db4e06e0b3521c6cab8d10af77869563952946399974</x:v>
      </x:c>
      <x:c r="G67" s="37" t="str">
        <x:v>bsa</x:v>
      </x:c>
      <x:c r="H67" s="37" t="str">
        <x:v>member_inventory_and_text_extraction</x:v>
      </x:c>
      <x:c r="I67" s="37" t="str">
        <x:v>476 BSA members inventoried; author text/source extracted where text</x:v>
      </x:c>
    </x:row>
    <x:row r="68">
      <x:c r="A68" s="37" t="str">
        <x:v>Mysticism</x:v>
      </x:c>
      <x:c r="B68" s="37" t="str">
        <x:v>2.5.0</x:v>
      </x:c>
      <x:c r="C68" s="37" t="str">
        <x:v>main/MysticismMagic.esp</x:v>
      </x:c>
      <x:c r="D68" s="37" t="str">
        <x:v>.esp</x:v>
      </x:c>
      <x:c r="E68" s="37" t="str">
        <x:v>1138490</x:v>
      </x:c>
      <x:c r="F68" s="37" t="str">
        <x:v>a40eba3b9ed372983b563f16a508b336b9322d1c384e4ff6cc80fe2959a1c6e0</x:v>
      </x:c>
      <x:c r="G68" s="37" t="str">
        <x:v>plugin</x:v>
      </x:c>
      <x:c r="H68" s="37" t="str">
        <x:v>lossless_parsed</x:v>
      </x:c>
      <x:c r="I68" s="37" t="str">
        <x:v>plugin record/subrecord layer parsed and versioned</x:v>
      </x:c>
    </x:row>
    <x:row r="69">
      <x:c r="A69" s="37" t="str">
        <x:v>Mysticism</x:v>
      </x:c>
      <x:c r="B69" s="37" t="str">
        <x:v>2.5.0</x:v>
      </x:c>
      <x:c r="C69" s="37" t="str">
        <x:v>module jump/MysticismJumpSpells.esp</x:v>
      </x:c>
      <x:c r="D69" s="37" t="str">
        <x:v>.esp</x:v>
      </x:c>
      <x:c r="E69" s="37" t="str">
        <x:v>3538</x:v>
      </x:c>
      <x:c r="F69" s="37" t="str">
        <x:v>d4ee3a022e89ea0c0fbe7d2f8b1acdcc8a559bc30a99ccbcf4543a32056cd35c</x:v>
      </x:c>
      <x:c r="G69" s="37" t="str">
        <x:v>plugin</x:v>
      </x:c>
      <x:c r="H69" s="37" t="str">
        <x:v>lossless_parsed</x:v>
      </x:c>
      <x:c r="I69" s="37" t="str">
        <x:v>plugin record/subrecord layer parsed and versioned</x:v>
      </x:c>
    </x:row>
    <x:row r="70">
      <x:c r="A70" s="37" t="str">
        <x:v>Mysticism</x:v>
      </x:c>
      <x:c r="B70" s="37" t="str">
        <x:v>2.5.0</x:v>
      </x:c>
      <x:c r="C70" s="37" t="str">
        <x:v>module ordinator/MysticOrdinator.esp</x:v>
      </x:c>
      <x:c r="D70" s="37" t="str">
        <x:v>.esp</x:v>
      </x:c>
      <x:c r="E70" s="37" t="str">
        <x:v>7420</x:v>
      </x:c>
      <x:c r="F70" s="37" t="str">
        <x:v>38892cf7e4933501a386fa83aabae4d7fe8d420cf514b67d92f9d76e1fb5373d</x:v>
      </x:c>
      <x:c r="G70" s="37" t="str">
        <x:v>plugin</x:v>
      </x:c>
      <x:c r="H70" s="37" t="str">
        <x:v>lossless_parsed</x:v>
      </x:c>
      <x:c r="I70" s="37" t="str">
        <x:v>plugin record/subrecord layer parsed and versioned</x:v>
      </x:c>
    </x:row>
    <x:row r="71">
      <x:c r="A71" s="37" t="str">
        <x:v>Mysticism</x:v>
      </x:c>
      <x:c r="B71" s="37" t="str">
        <x:v>2.5.0</x:v>
      </x:c>
      <x:c r="C71" s="37" t="str">
        <x:v>module slow/MysticismSlowerUnlocks.esp</x:v>
      </x:c>
      <x:c r="D71" s="37" t="str">
        <x:v>.esp</x:v>
      </x:c>
      <x:c r="E71" s="37" t="str">
        <x:v>5205</x:v>
      </x:c>
      <x:c r="F71" s="37" t="str">
        <x:v>99fa74151f29fee9d6a792d56eaae86a605eb15d151b1f3d32db0ed3932d8946</x:v>
      </x:c>
      <x:c r="G71" s="37" t="str">
        <x:v>plugin</x:v>
      </x:c>
      <x:c r="H71" s="37" t="str">
        <x:v>lossless_parsed</x:v>
      </x:c>
      <x:c r="I71" s="37" t="str">
        <x:v>plugin record/subrecord layer parsed and versioned</x:v>
      </x:c>
    </x:row>
    <x:row r="72">
      <x:c r="A72" s="37" t="str">
        <x:v>Mysticism</x:v>
      </x:c>
      <x:c r="B72" s="37" t="str">
        <x:v>2.5.0</x:v>
      </x:c>
      <x:c r="C72" s="37" t="str">
        <x:v>module slow/scripts/WISkillIncrease02.pex</x:v>
      </x:c>
      <x:c r="D72" s="37" t="str">
        <x:v>.pex</x:v>
      </x:c>
      <x:c r="E72" s="37" t="str">
        <x:v>4696</x:v>
      </x:c>
      <x:c r="F72" s="37" t="str">
        <x:v>b45d4177e1abd391d1e3c92a0189cdc1a99809f9f8ed0ac473e2720826b8fe49</x:v>
      </x:c>
      <x:c r="G72" s="37" t="str">
        <x:v>binary_asset</x:v>
      </x:c>
      <x:c r="H72" s="37" t="str">
        <x:v>binary_inventory</x:v>
      </x:c>
      <x:c r="I72" s="37" t="str">
        <x:v>compiled Papyrus bytecode inventoried; source preferred where supplied</x:v>
      </x:c>
    </x:row>
    <x:row r="73">
      <x:c r="A73" s="37" t="str">
        <x:v>Mysticism</x:v>
      </x:c>
      <x:c r="B73" s="37" t="str">
        <x:v>2.5.0</x:v>
      </x:c>
      <x:c r="C73" s="37" t="str">
        <x:v>module slow/source/scripts/WISkillIncrease02.psc</x:v>
      </x:c>
      <x:c r="D73" s="37" t="str">
        <x:v>.psc</x:v>
      </x:c>
      <x:c r="E73" s="37" t="str">
        <x:v>3828</x:v>
      </x:c>
      <x:c r="F73" s="37" t="str">
        <x:v>fcf9dd8fcc8e9356bc3e917de22b8d4cf23418a4fc2e360264e1ccc0d72e8ee7</x:v>
      </x:c>
      <x:c r="G73" s="37" t="str">
        <x:v>script_source</x:v>
      </x:c>
      <x:c r="H73" s="37" t="str">
        <x:v>source_parsed</x:v>
      </x:c>
      <x:c r="I73" s="37" t="str">
        <x:v>Papyrus source parsed into behavior evidence</x:v>
      </x:c>
    </x:row>
    <x:row r="74">
      <x:c r="A74" s="37" t="str">
        <x:v>Mysticism</x:v>
      </x:c>
      <x:c r="B74" s="37" t="str">
        <x:v>2.5.0</x:v>
      </x:c>
      <x:c r="C74" s="37" t="str">
        <x:v>module survival/MysticismSurvivalSpells.esp</x:v>
      </x:c>
      <x:c r="D74" s="37" t="str">
        <x:v>.esp</x:v>
      </x:c>
      <x:c r="E74" s="37" t="str">
        <x:v>3762</x:v>
      </x:c>
      <x:c r="F74" s="37" t="str">
        <x:v>67d3b22a91632078829bb876d4b10c2d2a9338170547a252ca108d374929eb7d</x:v>
      </x:c>
      <x:c r="G74" s="37" t="str">
        <x:v>plugin</x:v>
      </x:c>
      <x:c r="H74" s="37" t="str">
        <x:v>lossless_parsed</x:v>
      </x:c>
      <x:c r="I74" s="37" t="str">
        <x:v>plugin record/subrecord layer parsed and versioned</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30" hidden="0" customWidth="1"/>
    <x:col min="2" max="2" width="24" hidden="0" customWidth="1"/>
    <x:col min="3" max="3" width="60" hidden="0" customWidth="1"/>
    <x:col min="4" max="4" width="60" hidden="0" customWidth="1"/>
  </x:cols>
  <x:sheetData>
    <x:row r="1">
      <x:c r="A1" s="20" t="str">
        <x:v>Limitation</x:v>
      </x:c>
      <x:c r="B1" s="20" t="str">
        <x:v>Count / Scope</x:v>
      </x:c>
      <x:c r="C1" s="20" t="str">
        <x:v>Effect on analysis</x:v>
      </x:c>
      <x:c r="D1" s="20" t="str">
        <x:v>Resolution path</x:v>
      </x:c>
    </x:row>
    <x:row r="2">
      <x:c r="A2" s="33" t="str">
        <x:v>External master baselines</x:v>
      </x:c>
      <x:c r="B2" s="33" t="str">
        <x:v>1,619 overrides</x:v>
      </x:c>
      <x:c r="C2" s="33" t="str">
        <x:v>Cannot claim exact vanilla/DLC → Simonrim deltas for these records.</x:v>
      </x:c>
      <x:c r="D2" s="33" t="str">
        <x:v>Import matching Skyrim.esm / Update.esm / DLC master record bodies.</x:v>
      </x:c>
    </x:row>
    <x:row r="3">
      <x:c r="A3" s="33" t="str">
        <x:v>Native code</x:v>
      </x:c>
      <x:c r="B3" s="33" t="str">
        <x:v>2 DLL + 2 PDB</x:v>
      </x:c>
      <x:c r="C3" s="33" t="str">
        <x:v>Do not infer source-level native implementation behavior.</x:v>
      </x:c>
      <x:c r="D3" s="33" t="str">
        <x:v>Obtain source or perform a separate reverse-engineering project if legally/operationally appropriate.</x:v>
      </x:c>
    </x:row>
    <x:row r="4">
      <x:c r="A4" s="33" t="str">
        <x:v>Attached scripts without supplied PSC source</x:v>
      </x:c>
      <x:c r="B4" s="33" t="str">
        <x:v>208 attachments</x:v>
      </x:c>
      <x:c r="C4" s="33" t="str">
        <x:v>Attachment identity/property evidence is known; source behavior may be unavailable.</x:v>
      </x:c>
      <x:c r="D4" s="33" t="str">
        <x:v>Add corresponding source packages when available.</x:v>
      </x:c>
    </x:row>
    <x:row r="5">
      <x:c r="A5" s="33" t="str">
        <x:v>Intent inference</x:v>
      </x:c>
      <x:c r="B5" s="33" t="str">
        <x:v>All domains</x:v>
      </x:c>
      <x:c r="C5" s="33" t="str">
        <x:v>Implementation frequency alone is not author intent.</x:v>
      </x:c>
      <x:c r="D5" s="33" t="str">
        <x:v>Corroborate with author docs, deltas, exceptions, and review.</x:v>
      </x:c>
    </x:row>
    <x:row r="6">
      <x:c r="A6" s="33" t="str">
        <x:v>Presentation assets</x:v>
      </x:c>
      <x:c r="B6" s="33" t="str">
        <x:v>224 plugin records + binary assets</x:v>
      </x:c>
      <x:c r="C6" s="33" t="str">
        <x:v>Presentation is inventoried but not treated as an independent balance law.</x:v>
      </x:c>
      <x:c r="D6" s="33" t="str">
        <x:v>Use only when a design question specifically depends on audiovisual/animation behavior.</x:v>
      </x:c>
    </x:row>
  </x:sheetData>
  <x:pageMargins left="0.7" right="0.7" top="0.75" bottom="0.75" header="0.3" footer="0.3"/>
</x:worksheet>
</file>